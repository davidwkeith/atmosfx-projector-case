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easurements" sheetId="1" state="visible" r:id="rId1"/>
    <sheet name="Observations" sheetId="2" state="visible" r:id="rId2"/>
  </sheets>
  <definedNames/>
</workbook>
</file>

<file path=xl/styles.xml><?xml version="1.0" encoding="utf-8"?>
<styleSheet xmlns="http://schemas.openxmlformats.org/spreadsheetml/2006/main">
  <numFmts count="0"/>
  <fonts count="6">
    <font>
      <name val="Arial"/>
      <sz val="10"/>
    </font>
    <font>
      <name val="Arial"/>
      <b val="1"/>
      <sz val="10"/>
    </font>
    <font>
      <name val="Arial"/>
      <color rgb="FF0000FF"/>
      <sz val="10"/>
    </font>
    <font>
      <name val="Arial"/>
      <b val="1"/>
      <sz val="14"/>
    </font>
    <font>
      <name val="Arial"/>
      <i val="1"/>
      <color rgb="FF666666"/>
      <sz val="10"/>
    </font>
    <font>
      <name val="Arial"/>
      <color rgb="FF008000"/>
      <sz val="10"/>
    </font>
  </fonts>
  <fills count="5">
    <fill>
      <patternFill/>
    </fill>
    <fill>
      <patternFill patternType="gray125"/>
    </fill>
    <fill>
      <patternFill patternType="solid">
        <fgColor rgb="FFFFFF99"/>
        <bgColor indexed="64"/>
      </patternFill>
    </fill>
    <fill>
      <patternFill patternType="solid">
        <fgColor rgb="FFE0E0E0"/>
        <bgColor indexed="64"/>
      </patternFill>
    </fill>
    <fill>
      <patternFill patternType="solid">
        <fgColor rgb="FFFFFF99"/>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vertical="top" wrapText="1"/>
    </xf>
    <xf numFmtId="0" fontId="0" fillId="0" borderId="0" applyAlignment="1" pivotButton="0" quotePrefix="0" xfId="0">
      <alignment vertical="top" wrapText="1"/>
    </xf>
    <xf numFmtId="0" fontId="1" fillId="0" borderId="0" pivotButton="0" quotePrefix="0" xfId="0"/>
    <xf numFmtId="0" fontId="1" fillId="3" borderId="0" pivotButton="0" quotePrefix="0" xfId="0"/>
    <xf numFmtId="0" fontId="5" fillId="0" borderId="0" applyAlignment="1" pivotButton="0" quotePrefix="0" xfId="0">
      <alignment vertical="top" wrapText="1"/>
    </xf>
    <xf numFmtId="0" fontId="0" fillId="0" borderId="0" applyAlignment="1" pivotButton="0" quotePrefix="0" xfId="0">
      <alignment vertical="top"/>
    </xf>
    <xf numFmtId="0" fontId="2" fillId="4" borderId="0" applyAlignment="1" pivotButton="0" quotePrefix="0" xfId="0">
      <alignment vertical="top"/>
    </xf>
    <xf numFmtId="0" fontId="1" fillId="0" borderId="0" applyAlignment="1" pivotButton="0" quotePrefix="0" xfId="0">
      <alignment vertical="top"/>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14"/>
  <sheetViews>
    <sheetView tabSelected="1" workbookViewId="0">
      <pane ySplit="5" topLeftCell="A6" activePane="bottomLeft" state="frozen"/>
      <selection activeCell="A1" sqref="A1"/>
    </sheetView>
  </sheetViews>
  <sheetFormatPr baseColWidth="8" defaultRowHeight="15"/>
  <cols>
    <col width="12" customWidth="1" min="1" max="1"/>
    <col width="48" customWidth="1" min="2" max="2"/>
    <col width="16" customWidth="1" min="3" max="3"/>
    <col width="9" customWidth="1" min="4" max="4"/>
    <col width="6" customWidth="1" min="5" max="5"/>
    <col width="11" customWidth="1" min="6" max="6"/>
    <col width="11" customWidth="1" min="7" max="7"/>
    <col width="8" customWidth="1" min="8" max="8"/>
    <col width="10" customWidth="1" min="9" max="9"/>
    <col width="14" customWidth="1" min="10" max="10"/>
    <col width="60" customWidth="1" min="11" max="11"/>
  </cols>
  <sheetData>
    <row r="1">
      <c r="A1" s="3" t="inlineStr">
        <is>
          <t>AtmosFX projector case: hardware measurements</t>
        </is>
      </c>
    </row>
    <row r="2">
      <c r="A2" s="4" t="inlineStr">
        <is>
          <t>Fill in the yellow cells only. Default = current value in projector_pi_case.scad. Spec = what the Tkisko TO2 manual (manuals.plus, Oct 2022), its label and product photos says, in green; it is a manufacturer figure, not a measurement, so Measured overrides it. Flag says UPDATE when |Delta| is over the tolerance ('UPDATE (spec)' when only the manual disagrees): change that parameter, then run scripts/check_clash.sh and make parts. Rows without a parameter are context for the next step.</t>
        </is>
      </c>
    </row>
    <row r="3">
      <c r="A3" s="6" t="inlineStr">
        <is>
          <t>Date measured</t>
        </is>
      </c>
      <c r="B3" s="2" t="n"/>
      <c r="C3" s="6" t="inlineStr">
        <is>
          <t>Projector</t>
        </is>
      </c>
      <c r="D3" s="8" t="inlineStr">
        <is>
          <t>Tkisko TO2 (model C11)</t>
        </is>
      </c>
    </row>
    <row r="5">
      <c r="A5" s="7" t="inlineStr">
        <is>
          <t>Group</t>
        </is>
      </c>
      <c r="B5" s="7" t="inlineStr">
        <is>
          <t>Measurement</t>
        </is>
      </c>
      <c r="C5" s="7" t="inlineStr">
        <is>
          <t>Parameter</t>
        </is>
      </c>
      <c r="D5" s="7" t="inlineStr">
        <is>
          <t>Default</t>
        </is>
      </c>
      <c r="E5" s="7" t="inlineStr">
        <is>
          <t>Unit</t>
        </is>
      </c>
      <c r="F5" s="7" t="inlineStr">
        <is>
          <t>Spec (manual)</t>
        </is>
      </c>
      <c r="G5" s="7" t="inlineStr">
        <is>
          <t>Measured</t>
        </is>
      </c>
      <c r="H5" s="7" t="inlineStr">
        <is>
          <t>Delta</t>
        </is>
      </c>
      <c r="I5" s="7" t="inlineStr">
        <is>
          <t>Tolerance</t>
        </is>
      </c>
      <c r="J5" s="7" t="inlineStr">
        <is>
          <t>Flag</t>
        </is>
      </c>
      <c r="K5" s="7" t="inlineStr">
        <is>
          <t>How to measure / notes</t>
        </is>
      </c>
    </row>
    <row r="6">
      <c r="A6" s="4" t="inlineStr">
        <is>
          <t>EXAMPLE</t>
        </is>
      </c>
      <c r="B6" s="4" t="inlineStr">
        <is>
          <t>Example: width measured 137.5 against a default of 135</t>
        </is>
      </c>
      <c r="C6" s="4" t="inlineStr">
        <is>
          <t>proj_w</t>
        </is>
      </c>
      <c r="D6" t="n">
        <v>135</v>
      </c>
      <c r="E6" t="inlineStr">
        <is>
          <t>mm</t>
        </is>
      </c>
      <c r="F6" s="8" t="n">
        <v>165</v>
      </c>
      <c r="G6" s="2" t="n">
        <v>137.5</v>
      </c>
      <c r="H6">
        <f>IF(NOT(ISNUMBER(D6)),"",IF(ISNUMBER(G6),G6-D6,IF(ISNUMBER(F6),F6-D6,"")))</f>
        <v/>
      </c>
      <c r="I6" t="n">
        <v>1</v>
      </c>
      <c r="J6" s="6">
        <f>IF(OR(H6="",I6=""),"",IF(ABS(H6)&gt;I6,IF(ISNUMBER(G6),"UPDATE","UPDATE (spec)"),"ok"))</f>
        <v/>
      </c>
      <c r="K6" s="4" t="inlineStr">
        <is>
          <t>Delete this row once you start. It only shows the expected format.</t>
        </is>
      </c>
    </row>
    <row r="7">
      <c r="A7" s="9" t="inlineStr">
        <is>
          <t>Projector</t>
        </is>
      </c>
      <c r="B7" s="5" t="inlineStr">
        <is>
          <t>Width (X, across the front)</t>
        </is>
      </c>
      <c r="C7" s="9" t="inlineStr">
        <is>
          <t>proj_w</t>
        </is>
      </c>
      <c r="D7" s="9" t="n">
        <v>165</v>
      </c>
      <c r="E7" s="9" t="inlineStr">
        <is>
          <t>mm</t>
        </is>
      </c>
      <c r="F7" s="8" t="n">
        <v>165</v>
      </c>
      <c r="G7" s="10" t="n"/>
      <c r="H7" s="9">
        <f>IF(NOT(ISNUMBER(D7)),"",IF(ISNUMBER(G7),G7-D7,IF(ISNUMBER(F7),F7-D7,"")))</f>
        <v/>
      </c>
      <c r="I7" s="9" t="n">
        <v>1</v>
      </c>
      <c r="J7" s="11">
        <f>IF(OR(H7="",I7=""),"",IF(ABS(H7)&gt;I7,IF(ISNUMBER(G7),"UPDATE","UPDATE (spec)"),"ok"))</f>
        <v/>
      </c>
      <c r="K7" s="5" t="inlineStr">
        <is>
          <t>Manual: 6.5 x 5 x 2.6 in (spec table says 6 x 5 x 2.5); lens is on the 6.5 in face (owner). Measure: the base is 231 wide with the hood, on a 250 mm axis.</t>
        </is>
      </c>
    </row>
    <row r="8">
      <c r="A8" s="9" t="inlineStr">
        <is>
          <t>Projector</t>
        </is>
      </c>
      <c r="B8" s="5" t="inlineStr">
        <is>
          <t>Depth (Y, lens face to rear face)</t>
        </is>
      </c>
      <c r="C8" s="9" t="inlineStr">
        <is>
          <t>proj_d</t>
        </is>
      </c>
      <c r="D8" s="9" t="n">
        <v>130</v>
      </c>
      <c r="E8" s="9" t="inlineStr">
        <is>
          <t>mm</t>
        </is>
      </c>
      <c r="F8" s="8" t="n">
        <v>127</v>
      </c>
      <c r="G8" s="10" t="n">
        <v>130</v>
      </c>
      <c r="H8" s="9">
        <f>IF(NOT(ISNUMBER(D8)),"",IF(ISNUMBER(G8),G8-D8,IF(ISNUMBER(F8),F8-D8,"")))</f>
        <v/>
      </c>
      <c r="I8" s="9" t="n">
        <v>1</v>
      </c>
      <c r="J8" s="11">
        <f>IF(OR(H8="",I8=""),"",IF(ABS(H8)&gt;I8,IF(ISNUMBER(G8),"UPDATE","UPDATE (spec)"),"ok"))</f>
        <v/>
      </c>
      <c r="K8" s="5" t="inlineStr">
        <is>
          <t>Measured 130.0 with calipers (photo). base_front is 207 on the 210 mm bed axis, so this cannot grow.</t>
        </is>
      </c>
    </row>
    <row r="9">
      <c r="A9" s="9" t="inlineStr">
        <is>
          <t>Projector</t>
        </is>
      </c>
      <c r="B9" s="5" t="inlineStr">
        <is>
          <t>Height (Z, underside to top)</t>
        </is>
      </c>
      <c r="C9" s="9" t="inlineStr">
        <is>
          <t>proj_h</t>
        </is>
      </c>
      <c r="D9" s="9" t="n">
        <v>66</v>
      </c>
      <c r="E9" s="9" t="inlineStr">
        <is>
          <t>mm</t>
        </is>
      </c>
      <c r="F9" s="8" t="n">
        <v>66</v>
      </c>
      <c r="G9" s="10" t="n"/>
      <c r="H9" s="9">
        <f>IF(NOT(ISNUMBER(D9)),"",IF(ISNUMBER(G9),G9-D9,IF(ISNUMBER(F9),F9-D9,"")))</f>
        <v/>
      </c>
      <c r="I9" s="9" t="n">
        <v>1</v>
      </c>
      <c r="J9" s="11">
        <f>IF(OR(H9="",I9=""),"",IF(ABS(H9)&gt;I9,IF(ISNUMBER(G9),"UPDATE","UPDATE (spec)"),"ok"))</f>
        <v/>
      </c>
      <c r="K9" s="5" t="inlineStr">
        <is>
          <t>Underside sits on the ball head plate. Manual: 2.6 in.</t>
        </is>
      </c>
    </row>
    <row r="10">
      <c r="A10" s="9" t="inlineStr">
        <is>
          <t>Projector</t>
        </is>
      </c>
      <c r="B10" s="5" t="inlineStr">
        <is>
          <t>Lens centre height above underside</t>
        </is>
      </c>
      <c r="C10" s="9" t="inlineStr">
        <is>
          <t>lens_z</t>
        </is>
      </c>
      <c r="D10" s="9" t="n">
        <v>33</v>
      </c>
      <c r="E10" s="9" t="inlineStr">
        <is>
          <t>mm</t>
        </is>
      </c>
      <c r="F10" s="8" t="n">
        <v>33</v>
      </c>
      <c r="G10" s="10" t="n"/>
      <c r="H10" s="9">
        <f>IF(NOT(ISNUMBER(D10)),"",IF(ISNUMBER(G10),G10-D10,IF(ISNUMBER(F10),F10-D10,"")))</f>
        <v/>
      </c>
      <c r="I10" s="9" t="n">
        <v>2</v>
      </c>
      <c r="J10" s="11">
        <f>IF(OR(H10="",I10=""),"",IF(ABS(H10)&gt;I10,IF(ISNUMBER(G10),"UPDATE","UPDATE (spec)"),"ok"))</f>
        <v/>
      </c>
      <c r="K10" s="5" t="inlineStr">
        <is>
          <t>Centre of the lens, not the bezel. Spec is scaled off the product photo.</t>
        </is>
      </c>
    </row>
    <row r="11">
      <c r="A11" s="9" t="inlineStr">
        <is>
          <t>Projector</t>
        </is>
      </c>
      <c r="B11" s="5" t="inlineStr">
        <is>
          <t>Lens offset from body centre (+ = right, viewed from front)</t>
        </is>
      </c>
      <c r="C11" s="9" t="inlineStr">
        <is>
          <t>lens_x</t>
        </is>
      </c>
      <c r="D11" s="9" t="n">
        <v>-20</v>
      </c>
      <c r="E11" s="9" t="inlineStr">
        <is>
          <t>mm</t>
        </is>
      </c>
      <c r="F11" s="8" t="n">
        <v>-20</v>
      </c>
      <c r="G11" s="10" t="n"/>
      <c r="H11" s="9">
        <f>IF(NOT(ISNUMBER(D11)),"",IF(ISNUMBER(G11),G11-D11,IF(ISNUMBER(F11),F11-D11,"")))</f>
        <v/>
      </c>
      <c r="I11" s="9" t="n">
        <v>2</v>
      </c>
      <c r="J11" s="11">
        <f>IF(OR(H11="",I11=""),"",IF(ABS(H11)&gt;I11,IF(ISNUMBER(G11),"UPDATE","UPDATE (spec)"),"ok"))</f>
        <v/>
      </c>
      <c r="K11" s="5" t="inlineStr">
        <is>
          <t>Lens is in the left lobe. Spec is scaled off the product photo; the window frame follows this value.</t>
        </is>
      </c>
    </row>
    <row r="12">
      <c r="A12" s="9" t="inlineStr">
        <is>
          <t>Projector</t>
        </is>
      </c>
      <c r="B12" s="5" t="inlineStr">
        <is>
          <t>1/4-20 socket offset from centre, X (+ = right)</t>
        </is>
      </c>
      <c r="C12" s="9" t="inlineStr">
        <is>
          <t>mount_x</t>
        </is>
      </c>
      <c r="D12" s="9" t="n">
        <v>19</v>
      </c>
      <c r="E12" s="9" t="inlineStr">
        <is>
          <t>mm</t>
        </is>
      </c>
      <c r="F12" s="8" t="n">
        <v>19</v>
      </c>
      <c r="G12" s="10" t="n"/>
      <c r="H12" s="9">
        <f>IF(NOT(ISNUMBER(D12)),"",IF(ISNUMBER(G12),G12-D12,IF(ISNUMBER(F12),F12-D12,"")))</f>
        <v/>
      </c>
      <c r="I12" s="9" t="n">
        <v>2</v>
      </c>
      <c r="J12" s="11">
        <f>IF(OR(H12="",I12=""),"",IF(ABS(H12)&gt;I12,IF(ISNUMBER(G12),"UPDATE","UPDATE (spec)"),"ok"))</f>
        <v/>
      </c>
      <c r="K12" s="5" t="inlineStr">
        <is>
          <t>Brass insert in the right lobe (underside photo). Spec is scaled off the photo; measure from the body centre.</t>
        </is>
      </c>
    </row>
    <row r="13">
      <c r="A13" s="9" t="inlineStr">
        <is>
          <t>Projector</t>
        </is>
      </c>
      <c r="B13" s="5" t="inlineStr">
        <is>
          <t>1/4-20 socket offset from centre, Y (+ = toward rear)</t>
        </is>
      </c>
      <c r="C13" s="9" t="inlineStr">
        <is>
          <t>mount_y</t>
        </is>
      </c>
      <c r="D13" s="9" t="n">
        <v>-4</v>
      </c>
      <c r="E13" s="9" t="inlineStr">
        <is>
          <t>mm</t>
        </is>
      </c>
      <c r="F13" s="8" t="n">
        <v>-4</v>
      </c>
      <c r="G13" s="10" t="n"/>
      <c r="H13" s="9">
        <f>IF(NOT(ISNUMBER(D13)),"",IF(ISNUMBER(G13),G13-D13,IF(ISNUMBER(F13),F13-D13,"")))</f>
        <v/>
      </c>
      <c r="I13" s="9" t="n">
        <v>2</v>
      </c>
      <c r="J13" s="11">
        <f>IF(OR(H13="",I13=""),"",IF(ABS(H13)&gt;I13,IF(ISNUMBER(G13),"UPDATE","UPDATE (spec)"),"ok"))</f>
        <v/>
      </c>
      <c r="K13" s="5" t="inlineStr">
        <is>
          <t>Slightly forward of centre in the underside photo.</t>
        </is>
      </c>
    </row>
    <row r="14">
      <c r="A14" s="9" t="inlineStr">
        <is>
          <t>Projector</t>
        </is>
      </c>
      <c r="B14" s="5" t="inlineStr">
        <is>
          <t>1/4-20 socket recess depth</t>
        </is>
      </c>
      <c r="C14" s="9" t="n"/>
      <c r="D14" s="9" t="n"/>
      <c r="E14" s="9" t="inlineStr">
        <is>
          <t>mm</t>
        </is>
      </c>
      <c r="F14" s="8" t="n"/>
      <c r="G14" s="10" t="n"/>
      <c r="H14" s="9">
        <f>IF(NOT(ISNUMBER(D14)),"",IF(ISNUMBER(G14),G14-D14,IF(ISNUMBER(F14),F14-D14,"")))</f>
        <v/>
      </c>
      <c r="I14" s="9" t="n"/>
      <c r="J14" s="11">
        <f>IF(OR(H14="",I14=""),"",IF(ABS(H14)&gt;I14,IF(ISNUMBER(G14),"UPDATE","UPDATE (spec)"),"ok"))</f>
        <v/>
      </c>
      <c r="K14" s="5" t="inlineStr">
        <is>
          <t>How far the stud must reach. Compare with the ball head stud length.</t>
        </is>
      </c>
    </row>
    <row r="15">
      <c r="A15" s="9" t="inlineStr">
        <is>
          <t>Projector</t>
        </is>
      </c>
      <c r="B15" s="5" t="inlineStr">
        <is>
          <t>Lowest plug edge above underside</t>
        </is>
      </c>
      <c r="C15" s="9" t="inlineStr">
        <is>
          <t>port_band[0]</t>
        </is>
      </c>
      <c r="D15" s="9" t="n">
        <v>15</v>
      </c>
      <c r="E15" s="9" t="inlineStr">
        <is>
          <t>mm</t>
        </is>
      </c>
      <c r="F15" s="8" t="n"/>
      <c r="G15" s="10" t="n"/>
      <c r="H15" s="9">
        <f>IF(NOT(ISNUMBER(D15)),"",IF(ISNUMBER(G15),G15-D15,IF(ISNUMBER(F15),F15-D15,"")))</f>
        <v/>
      </c>
      <c r="I15" s="9" t="n">
        <v>3</v>
      </c>
      <c r="J15" s="11">
        <f>IF(OR(H15="",I15=""),"",IF(ABS(H15)&gt;I15,IF(ISNUMBER(G15),"UPDATE","UPDATE (spec)"),"ok"))</f>
        <v/>
      </c>
      <c r="K15" s="5" t="inlineStr">
        <is>
          <t>With the HDMI and power plugs fitted.</t>
        </is>
      </c>
    </row>
    <row r="16">
      <c r="A16" s="9" t="inlineStr">
        <is>
          <t>Projector</t>
        </is>
      </c>
      <c r="B16" s="5" t="inlineStr">
        <is>
          <t>Highest plug edge above underside</t>
        </is>
      </c>
      <c r="C16" s="9" t="inlineStr">
        <is>
          <t>port_band[1]</t>
        </is>
      </c>
      <c r="D16" s="9" t="n">
        <v>55</v>
      </c>
      <c r="E16" s="9" t="inlineStr">
        <is>
          <t>mm</t>
        </is>
      </c>
      <c r="F16" s="8" t="n"/>
      <c r="G16" s="10" t="n"/>
      <c r="H16" s="9">
        <f>IF(NOT(ISNUMBER(D16)),"",IF(ISNUMBER(G16),G16-D16,IF(ISNUMBER(F16),F16-D16,"")))</f>
        <v/>
      </c>
      <c r="I16" s="9" t="n">
        <v>3</v>
      </c>
      <c r="J16" s="11">
        <f>IF(OR(H16="",I16=""),"",IF(ABS(H16)&gt;I16,IF(ISNUMBER(G16),"UPDATE","UPDATE (spec)"),"ok"))</f>
        <v/>
      </c>
      <c r="K16" s="5" t="inlineStr"/>
    </row>
    <row r="17">
      <c r="A17" s="9" t="inlineStr">
        <is>
          <t>Projector</t>
        </is>
      </c>
      <c r="B17" s="5" t="inlineStr">
        <is>
          <t>Plug protrusion behind the rear face</t>
        </is>
      </c>
      <c r="C17" s="9" t="inlineStr">
        <is>
          <t>port_depth</t>
        </is>
      </c>
      <c r="D17" s="9" t="n">
        <v>15</v>
      </c>
      <c r="E17" s="9" t="inlineStr">
        <is>
          <t>mm</t>
        </is>
      </c>
      <c r="F17" s="8" t="n"/>
      <c r="G17" s="10" t="n"/>
      <c r="H17" s="9">
        <f>IF(NOT(ISNUMBER(D17)),"",IF(ISNUMBER(G17),G17-D17,IF(ISNUMBER(F17),F17-D17,"")))</f>
        <v/>
      </c>
      <c r="I17" s="9" t="n">
        <v>3</v>
      </c>
      <c r="J17" s="11">
        <f>IF(OR(H17="",I17=""),"",IF(ABS(H17)&gt;I17,IF(ISNUMBER(G17),"UPDATE","UPDATE (spec)"),"ok"))</f>
        <v/>
      </c>
      <c r="K17" s="5" t="inlineStr">
        <is>
          <t>Plugs fitted, cable bent the way it will run. A straight HDMI plug is about 40.</t>
        </is>
      </c>
    </row>
    <row r="18">
      <c r="A18" s="9" t="inlineStr">
        <is>
          <t>Projector</t>
        </is>
      </c>
      <c r="B18" s="5" t="inlineStr">
        <is>
          <t>HDMI port position along the rear face, X (+ = right)</t>
        </is>
      </c>
      <c r="C18" s="9" t="n"/>
      <c r="D18" s="9" t="n"/>
      <c r="E18" s="9" t="inlineStr">
        <is>
          <t>mm</t>
        </is>
      </c>
      <c r="F18" s="8" t="n"/>
      <c r="G18" s="10" t="n"/>
      <c r="H18" s="9">
        <f>IF(NOT(ISNUMBER(D18)),"",IF(ISNUMBER(G18),G18-D18,IF(ISNUMBER(F18),F18-D18,"")))</f>
        <v/>
      </c>
      <c r="I18" s="9" t="n"/>
      <c r="J18" s="11">
        <f>IF(OR(H18="",I18=""),"",IF(ABS(H18)&gt;I18,IF(ISNUMBER(G18),"UPDATE","UPDATE (spec)"),"ok"))</f>
        <v/>
      </c>
      <c r="K18" s="5" t="inlineStr">
        <is>
          <t>Centre of the port. The Pi's cable comes through the divider pass-through (pass_x: -40 to 25 from centre); a port far outside that band means a tight bend behind the projector.</t>
        </is>
      </c>
    </row>
    <row r="19">
      <c r="A19" s="9" t="inlineStr">
        <is>
          <t>Projector</t>
        </is>
      </c>
      <c r="B19" s="5" t="inlineStr">
        <is>
          <t>Power jack position along the rear face, X (+ = right)</t>
        </is>
      </c>
      <c r="C19" s="9" t="n"/>
      <c r="D19" s="9" t="n"/>
      <c r="E19" s="9" t="inlineStr">
        <is>
          <t>mm</t>
        </is>
      </c>
      <c r="F19" s="8" t="n"/>
      <c r="G19" s="10" t="n"/>
      <c r="H19" s="9">
        <f>IF(NOT(ISNUMBER(D19)),"",IF(ISNUMBER(G19),G19-D19,IF(ISNUMBER(F19),F19-D19,"")))</f>
        <v/>
      </c>
      <c r="I19" s="9" t="n"/>
      <c r="J19" s="11">
        <f>IF(OR(H19="",I19=""),"",IF(ABS(H19)&gt;I19,IF(ISNUMBER(G19),"UPDATE","UPDATE (spec)"),"ok"))</f>
        <v/>
      </c>
      <c r="K19" s="5" t="inlineStr">
        <is>
          <t>Centre of the jack.</t>
        </is>
      </c>
    </row>
    <row r="20">
      <c r="A20" s="9" t="inlineStr">
        <is>
          <t>Projector</t>
        </is>
      </c>
      <c r="B20" s="5" t="inlineStr">
        <is>
          <t>Barrel plug outer diameter</t>
        </is>
      </c>
      <c r="C20" s="9" t="n"/>
      <c r="D20" s="9" t="n"/>
      <c r="E20" s="9" t="inlineStr">
        <is>
          <t>mm</t>
        </is>
      </c>
      <c r="F20" s="8" t="n"/>
      <c r="G20" s="10" t="n"/>
      <c r="H20" s="9">
        <f>IF(NOT(ISNUMBER(D20)),"",IF(ISNUMBER(G20),G20-D20,IF(ISNUMBER(F20),F20-D20,"")))</f>
        <v/>
      </c>
      <c r="I20" s="9" t="n"/>
      <c r="J20" s="11">
        <f>IF(OR(H20="",I20=""),"",IF(ABS(H20)&gt;I20,IF(ISNUMBER(G20),"UPDATE","UPDATE (spec)"),"ok"))</f>
        <v/>
      </c>
      <c r="K20" s="5" t="inlineStr">
        <is>
          <t>Sizes the relay pigtail and the inline DC fuse holder (docs/WIRING.md). Inner pin diameter in Observations.</t>
        </is>
      </c>
    </row>
    <row r="21">
      <c r="A21" s="9" t="inlineStr">
        <is>
          <t>Projector</t>
        </is>
      </c>
      <c r="B21" s="5" t="inlineStr">
        <is>
          <t>Barrel plug length, body plus strain relief</t>
        </is>
      </c>
      <c r="C21" s="9" t="n"/>
      <c r="D21" s="9" t="n"/>
      <c r="E21" s="9" t="inlineStr">
        <is>
          <t>mm</t>
        </is>
      </c>
      <c r="F21" s="8" t="n"/>
      <c r="G21" s="10" t="n"/>
      <c r="H21" s="9">
        <f>IF(NOT(ISNUMBER(D21)),"",IF(ISNUMBER(G21),G21-D21,IF(ISNUMBER(F21),F21-D21,"")))</f>
        <v/>
      </c>
      <c r="I21" s="9" t="n">
        <v>3</v>
      </c>
      <c r="J21" s="11">
        <f>IF(OR(H21="",I21=""),"",IF(ABS(H21)&gt;I21,IF(ISNUMBER(G21),"UPDATE","UPDATE (spec)"),"ok"))</f>
        <v/>
      </c>
      <c r="K21" s="5" t="inlineStr">
        <is>
          <t>Straight out from the rear face. If it is longer than the HDMI plug it sets port_depth, not the HDMI.</t>
        </is>
      </c>
    </row>
    <row r="22">
      <c r="A22" s="9" t="inlineStr">
        <is>
          <t>Projector</t>
        </is>
      </c>
      <c r="B22" s="5" t="inlineStr">
        <is>
          <t>Lens barrel protrusion past the front face</t>
        </is>
      </c>
      <c r="C22" s="9" t="n"/>
      <c r="D22" s="9" t="n"/>
      <c r="E22" s="9" t="inlineStr">
        <is>
          <t>mm</t>
        </is>
      </c>
      <c r="F22" s="8" t="n"/>
      <c r="G22" s="10" t="n"/>
      <c r="H22" s="9">
        <f>IF(NOT(ISNUMBER(D22)),"",IF(ISNUMBER(G22),G22-D22,IF(ISNUMBER(F22),F22-D22,"")))</f>
        <v/>
      </c>
      <c r="I22" s="9" t="n">
        <v>1</v>
      </c>
      <c r="J22" s="11">
        <f>IF(OR(H22="",I22=""),"",IF(ABS(H22)&gt;I22,IF(ISNUMBER(G22),"UPDATE","UPDATE (spec)"),"ok"))</f>
        <v/>
      </c>
      <c r="K22" s="5" t="inlineStr">
        <is>
          <t>0 if the lens sits behind a flush window. Anything proud eats into front_gap (30) on downward tilt.</t>
        </is>
      </c>
    </row>
    <row r="23">
      <c r="A23" s="9" t="inlineStr">
        <is>
          <t>Projector</t>
        </is>
      </c>
      <c r="B23" s="5" t="inlineStr">
        <is>
          <t>Lens bezel diameter</t>
        </is>
      </c>
      <c r="C23" s="9" t="n"/>
      <c r="D23" s="9" t="n"/>
      <c r="E23" s="9" t="inlineStr">
        <is>
          <t>mm</t>
        </is>
      </c>
      <c r="F23" s="8" t="n"/>
      <c r="G23" s="10" t="n"/>
      <c r="H23" s="9">
        <f>IF(NOT(ISNUMBER(D23)),"",IF(ISNUMBER(G23),G23-D23,IF(ISNUMBER(F23),F23-D23,"")))</f>
        <v/>
      </c>
      <c r="I23" s="9" t="n"/>
      <c r="J23" s="11">
        <f>IF(OR(H23="",I23=""),"",IF(ABS(H23)&gt;I23,IF(ISNUMBER(G23),"UPDATE","UPDATE (spec)"),"ok"))</f>
        <v/>
      </c>
      <c r="K23" s="5" t="inlineStr">
        <is>
          <t>Clear window opening is the pane minus the lap: 111 x 86 mm. The light cone, not the bezel, is what the check sweeps, so this is context.</t>
        </is>
      </c>
    </row>
    <row r="24">
      <c r="A24" s="9" t="inlineStr">
        <is>
          <t>Projector</t>
        </is>
      </c>
      <c r="B24" s="5" t="inlineStr">
        <is>
          <t>Focus wheel height above underside</t>
        </is>
      </c>
      <c r="C24" s="9" t="n"/>
      <c r="D24" s="9" t="n"/>
      <c r="E24" s="9" t="inlineStr">
        <is>
          <t>mm</t>
        </is>
      </c>
      <c r="F24" s="8" t="n"/>
      <c r="G24" s="10" t="n"/>
      <c r="H24" s="9">
        <f>IF(NOT(ISNUMBER(D24)),"",IF(ISNUMBER(G24),G24-D24,IF(ISNUMBER(F24),F24-D24,"")))</f>
        <v/>
      </c>
      <c r="I24" s="9" t="n">
        <v>5</v>
      </c>
      <c r="J24" s="11">
        <f>IF(OR(H24="",I24=""),"",IF(ABS(H24)&gt;I24,IF(ISNUMBER(G24),"UPDATE","UPDATE (spec)"),"ok"))</f>
        <v/>
      </c>
      <c r="K24" s="5" t="inlineStr">
        <is>
          <t>Which face is in Observations. The projector underside is 70 above the floor and the hatch diamond reaches 110, so only the lower 40 mm of the left face is reachable with the lid on.</t>
        </is>
      </c>
    </row>
    <row r="25">
      <c r="A25" s="9" t="inlineStr">
        <is>
          <t>Projector</t>
        </is>
      </c>
      <c r="B25" s="5" t="inlineStr">
        <is>
          <t>Keystone control height above underside</t>
        </is>
      </c>
      <c r="C25" s="9" t="n"/>
      <c r="D25" s="9" t="n"/>
      <c r="E25" s="9" t="inlineStr">
        <is>
          <t>mm</t>
        </is>
      </c>
      <c r="F25" s="8" t="n"/>
      <c r="G25" s="10" t="n"/>
      <c r="H25" s="9">
        <f>IF(NOT(ISNUMBER(D25)),"",IF(ISNUMBER(G25),G25-D25,IF(ISNUMBER(F25),F25-D25,"")))</f>
        <v/>
      </c>
      <c r="I25" s="9" t="n">
        <v>5</v>
      </c>
      <c r="J25" s="11">
        <f>IF(OR(H25="",I25=""),"",IF(ABS(H25)&gt;I25,IF(ISNUMBER(G25),"UPDATE","UPDATE (spec)"),"ok"))</f>
        <v/>
      </c>
      <c r="K25" s="5" t="inlineStr">
        <is>
          <t>Same reach limit as the focus wheel.</t>
        </is>
      </c>
    </row>
    <row r="26">
      <c r="A26" s="9" t="inlineStr">
        <is>
          <t>Projector</t>
        </is>
      </c>
      <c r="B26" s="5" t="inlineStr">
        <is>
          <t>IR receiver window height above underside</t>
        </is>
      </c>
      <c r="C26" s="9" t="n"/>
      <c r="D26" s="9" t="n"/>
      <c r="E26" s="9" t="inlineStr">
        <is>
          <t>mm</t>
        </is>
      </c>
      <c r="F26" s="8" t="n"/>
      <c r="G26" s="10" t="n"/>
      <c r="H26" s="9">
        <f>IF(NOT(ISNUMBER(D26)),"",IF(ISNUMBER(G26),G26-D26,IF(ISNUMBER(F26),F26-D26,"")))</f>
        <v/>
      </c>
      <c r="I26" s="9" t="n">
        <v>3</v>
      </c>
      <c r="J26" s="11">
        <f>IF(OR(H26="",I26=""),"",IF(ABS(H26)&gt;I26,IF(ISNUMBER(G26),"UPDATE","UPDATE (spec)"),"ok"))</f>
        <v/>
      </c>
      <c r="K26" s="5" t="inlineStr">
        <is>
          <t>ir_holder sticks on inside the case and aims a 5 mm LED ir_angle (30 deg) at this window. Face in Observations.</t>
        </is>
      </c>
    </row>
    <row r="27">
      <c r="A27" s="9" t="inlineStr">
        <is>
          <t>Projector</t>
        </is>
      </c>
      <c r="B27" s="5" t="inlineStr">
        <is>
          <t>IR receiver position along its face (+ = right)</t>
        </is>
      </c>
      <c r="C27" s="9" t="n"/>
      <c r="D27" s="9" t="n"/>
      <c r="E27" s="9" t="inlineStr">
        <is>
          <t>mm</t>
        </is>
      </c>
      <c r="F27" s="8" t="n"/>
      <c r="G27" s="10" t="n"/>
      <c r="H27" s="9">
        <f>IF(NOT(ISNUMBER(D27)),"",IF(ISNUMBER(G27),G27-D27,IF(ISNUMBER(F27),F27-D27,"")))</f>
        <v/>
      </c>
      <c r="I27" s="9" t="n">
        <v>3</v>
      </c>
      <c r="J27" s="11">
        <f>IF(OR(H27="",I27=""),"",IF(ABS(H27)&gt;I27,IF(ISNUMBER(G27),"UPDATE","UPDATE (spec)"),"ok"))</f>
        <v/>
      </c>
      <c r="K27" s="5" t="inlineStr"/>
    </row>
    <row r="28">
      <c r="A28" s="9" t="inlineStr">
        <is>
          <t>Projector</t>
        </is>
      </c>
      <c r="B28" s="5" t="inlineStr">
        <is>
          <t>Intake vent extent along its face (from-to, + = right)</t>
        </is>
      </c>
      <c r="C28" s="9" t="n"/>
      <c r="D28" s="9" t="n"/>
      <c r="E28" s="9" t="inlineStr">
        <is>
          <t>mm</t>
        </is>
      </c>
      <c r="F28" s="8" t="n"/>
      <c r="G28" s="10" t="n"/>
      <c r="H28" s="9">
        <f>IF(NOT(ISNUMBER(D28)),"",IF(ISNUMBER(G28),G28-D28,IF(ISNUMBER(F28),F28-D28,"")))</f>
        <v/>
      </c>
      <c r="I28" s="9" t="n">
        <v>5</v>
      </c>
      <c r="J28" s="11">
        <f>IF(OR(H28="",I28=""),"",IF(ABS(H28)&gt;I28,IF(ISNUMBER(G28),"UPDATE","UPDATE (spec)"),"ok"))</f>
        <v/>
      </c>
      <c r="K28" s="5" t="inlineStr">
        <is>
          <t>Type as from-to, e.g. -70-(-20). Louver banks (vents) and the floor intake should feed it. Face in Observations.</t>
        </is>
      </c>
    </row>
    <row r="29">
      <c r="A29" s="9" t="inlineStr">
        <is>
          <t>Projector</t>
        </is>
      </c>
      <c r="B29" s="5" t="inlineStr">
        <is>
          <t>Intake vent height band above underside (low-high)</t>
        </is>
      </c>
      <c r="C29" s="9" t="n"/>
      <c r="D29" s="9" t="n"/>
      <c r="E29" s="9" t="inlineStr">
        <is>
          <t>mm</t>
        </is>
      </c>
      <c r="F29" s="8" t="n"/>
      <c r="G29" s="10" t="n"/>
      <c r="H29" s="9">
        <f>IF(NOT(ISNUMBER(D29)),"",IF(ISNUMBER(G29),G29-D29,IF(ISNUMBER(F29),F29-D29,"")))</f>
        <v/>
      </c>
      <c r="I29" s="9" t="n">
        <v>5</v>
      </c>
      <c r="J29" s="11">
        <f>IF(OR(H29="",I29=""),"",IF(ABS(H29)&gt;I29,IF(ISNUMBER(G29),"UPDATE","UPDATE (spec)"),"ok"))</f>
        <v/>
      </c>
      <c r="K29" s="5" t="inlineStr"/>
    </row>
    <row r="30">
      <c r="A30" s="9" t="inlineStr">
        <is>
          <t>Projector</t>
        </is>
      </c>
      <c r="B30" s="5" t="inlineStr">
        <is>
          <t>Exhaust vent extent along its face (from-to, + = right)</t>
        </is>
      </c>
      <c r="C30" s="9" t="n"/>
      <c r="D30" s="9" t="n"/>
      <c r="E30" s="9" t="inlineStr">
        <is>
          <t>mm</t>
        </is>
      </c>
      <c r="F30" s="8" t="n"/>
      <c r="G30" s="10" t="n"/>
      <c r="H30" s="9">
        <f>IF(NOT(ISNUMBER(D30)),"",IF(ISNUMBER(G30),G30-D30,IF(ISNUMBER(F30),F30-D30,"")))</f>
        <v/>
      </c>
      <c r="I30" s="9" t="n">
        <v>5</v>
      </c>
      <c r="J30" s="11">
        <f>IF(OR(H30="",I30=""),"",IF(ABS(H30)&gt;I30,IF(ISNUMBER(G30),"UPDATE","UPDATE (spec)"),"ok"))</f>
        <v/>
      </c>
      <c r="K30" s="5" t="inlineStr">
        <is>
          <t>The projector-zone 40 mm fan on the right wall should sit level with it. Face in Observations.</t>
        </is>
      </c>
    </row>
    <row r="31">
      <c r="A31" s="9" t="inlineStr">
        <is>
          <t>Projector</t>
        </is>
      </c>
      <c r="B31" s="5" t="inlineStr">
        <is>
          <t>Exhaust vent height band above underside (low-high)</t>
        </is>
      </c>
      <c r="C31" s="9" t="n"/>
      <c r="D31" s="9" t="n"/>
      <c r="E31" s="9" t="inlineStr">
        <is>
          <t>mm</t>
        </is>
      </c>
      <c r="F31" s="8" t="n"/>
      <c r="G31" s="10" t="n"/>
      <c r="H31" s="9">
        <f>IF(NOT(ISNUMBER(D31)),"",IF(ISNUMBER(G31),G31-D31,IF(ISNUMBER(F31),F31-D31,"")))</f>
        <v/>
      </c>
      <c r="I31" s="9" t="n">
        <v>5</v>
      </c>
      <c r="J31" s="11">
        <f>IF(OR(H31="",I31=""),"",IF(ABS(H31)&gt;I31,IF(ISNUMBER(G31),"UPDATE","UPDATE (spec)"),"ok"))</f>
        <v/>
      </c>
      <c r="K31" s="5" t="inlineStr"/>
    </row>
    <row r="32">
      <c r="A32" s="9" t="inlineStr">
        <is>
          <t>Projector</t>
        </is>
      </c>
      <c r="B32" s="5" t="inlineStr">
        <is>
          <t>Foot height on the underside</t>
        </is>
      </c>
      <c r="C32" s="9" t="n"/>
      <c r="D32" s="9" t="n"/>
      <c r="E32" s="9" t="inlineStr">
        <is>
          <t>mm</t>
        </is>
      </c>
      <c r="F32" s="8" t="n"/>
      <c r="G32" s="10" t="n"/>
      <c r="H32" s="9">
        <f>IF(NOT(ISNUMBER(D32)),"",IF(ISNUMBER(G32),G32-D32,IF(ISNUMBER(F32),F32-D32,"")))</f>
        <v/>
      </c>
      <c r="I32" s="9" t="n">
        <v>0.5</v>
      </c>
      <c r="J32" s="11">
        <f>IF(OR(H32="",I32=""),"",IF(ABS(H32)&gt;I32,IF(ISNUMBER(G32),"UPDATE","UPDATE (spec)"),"ok"))</f>
        <v/>
      </c>
      <c r="K32" s="5" t="inlineStr">
        <is>
          <t>If the feet, not the body, rest on the ball head's platform, add this to ball_head_h.</t>
        </is>
      </c>
    </row>
    <row r="33">
      <c r="A33" s="9" t="inlineStr">
        <is>
          <t>Projector</t>
        </is>
      </c>
      <c r="B33" s="5" t="inlineStr">
        <is>
          <t>Flat area around the 1/4-20 socket, diameter</t>
        </is>
      </c>
      <c r="C33" s="9" t="n"/>
      <c r="D33" s="9" t="n"/>
      <c r="E33" s="9" t="inlineStr">
        <is>
          <t>mm</t>
        </is>
      </c>
      <c r="F33" s="8" t="n"/>
      <c r="G33" s="10" t="n"/>
      <c r="H33" s="9">
        <f>IF(NOT(ISNUMBER(D33)),"",IF(ISNUMBER(G33),G33-D33,IF(ISNUMBER(F33),F33-D33,"")))</f>
        <v/>
      </c>
      <c r="I33" s="9" t="n">
        <v>2</v>
      </c>
      <c r="J33" s="11">
        <f>IF(OR(H33="",I33=""),"",IF(ABS(H33)&gt;I33,IF(ISNUMBER(G33),"UPDATE","UPDATE (spec)"),"ok"))</f>
        <v/>
      </c>
      <c r="K33" s="5" t="inlineStr">
        <is>
          <t>Must take the ball head's platform (Ball head rows). Feet or ribs inside this circle rock the mount.</t>
        </is>
      </c>
    </row>
    <row r="34">
      <c r="A34" s="9" t="inlineStr">
        <is>
          <t>Projector</t>
        </is>
      </c>
      <c r="B34" s="5" t="inlineStr">
        <is>
          <t>Weight</t>
        </is>
      </c>
      <c r="C34" s="9" t="inlineStr">
        <is>
          <t>(tripod_y centroid)</t>
        </is>
      </c>
      <c r="D34" s="9" t="n">
        <v>720</v>
      </c>
      <c r="E34" s="9" t="inlineStr">
        <is>
          <t>g</t>
        </is>
      </c>
      <c r="F34" s="8" t="n">
        <v>454</v>
      </c>
      <c r="G34" s="10" t="n"/>
      <c r="H34" s="9">
        <f>IF(NOT(ISNUMBER(D34)),"",IF(ISNUMBER(G34),G34-D34,IF(ISNUMBER(F34),F34-D34,"")))</f>
        <v/>
      </c>
      <c r="I34" s="9" t="n">
        <v>100</v>
      </c>
      <c r="J34" s="11">
        <f>IF(OR(H34="",I34=""),"",IF(ABS(H34)&gt;I34,IF(ISNUMBER(G34),"UPDATE","UPDATE (spec)"),"ok"))</f>
        <v/>
      </c>
      <c r="K34" s="5" t="inlineStr">
        <is>
          <t>Manual: 1 lb (its spec table says 25 lb, a typo). Kitchen scale.</t>
        </is>
      </c>
    </row>
    <row r="35">
      <c r="A35" s="9" t="inlineStr">
        <is>
          <t>Projector</t>
        </is>
      </c>
      <c r="B35" s="5" t="inlineStr">
        <is>
          <t>Aspect ratio (width / height)</t>
        </is>
      </c>
      <c r="C35" s="9" t="inlineStr">
        <is>
          <t>aspect</t>
        </is>
      </c>
      <c r="D35" s="9" t="n">
        <v>1.778</v>
      </c>
      <c r="E35" s="9" t="inlineStr"/>
      <c r="F35" s="8" t="n">
        <v>1.778</v>
      </c>
      <c r="G35" s="10" t="n"/>
      <c r="H35" s="9">
        <f>IF(NOT(ISNUMBER(D35)),"",IF(ISNUMBER(G35),G35-D35,IF(ISNUMBER(F35),F35-D35,"")))</f>
        <v/>
      </c>
      <c r="I35" s="9" t="n">
        <v>0.01</v>
      </c>
      <c r="J35" s="11">
        <f>IF(OR(H35="",I35=""),"",IF(ABS(H35)&gt;I35,IF(ISNUMBER(G35),"UPDATE","UPDATE (spec)"),"ok"))</f>
        <v/>
      </c>
      <c r="K35" s="5" t="inlineStr">
        <is>
          <t>Manual: native 1280 x 720, so 16:9.</t>
        </is>
      </c>
    </row>
    <row r="36">
      <c r="A36" s="9" t="inlineStr">
        <is>
          <t>Projector</t>
        </is>
      </c>
      <c r="B36" s="5" t="inlineStr">
        <is>
          <t>Throw distance to wall (helper)</t>
        </is>
      </c>
      <c r="C36" s="9" t="n"/>
      <c r="D36" s="9" t="n"/>
      <c r="E36" s="9" t="inlineStr">
        <is>
          <t>mm</t>
        </is>
      </c>
      <c r="F36" s="8" t="n"/>
      <c r="G36" s="10" t="n"/>
      <c r="H36" s="9">
        <f>IF(NOT(ISNUMBER(D36)),"",IF(ISNUMBER(G36),G36-D36,IF(ISNUMBER(F36),F36-D36,"")))</f>
        <v/>
      </c>
      <c r="I36" s="9" t="n"/>
      <c r="J36" s="11">
        <f>IF(OR(H36="",I36=""),"",IF(ABS(H36)&gt;I36,IF(ISNUMBER(G36),"UPDATE","UPDATE (spec)"),"ok"))</f>
        <v/>
      </c>
      <c r="K36" s="5" t="inlineStr">
        <is>
          <t>Lens face to wall, projector level.</t>
        </is>
      </c>
    </row>
    <row r="37">
      <c r="A37" s="9" t="inlineStr">
        <is>
          <t>Projector</t>
        </is>
      </c>
      <c r="B37" s="5" t="inlineStr">
        <is>
          <t>Image width at that distance (helper)</t>
        </is>
      </c>
      <c r="C37" s="9" t="n"/>
      <c r="D37" s="9" t="n"/>
      <c r="E37" s="9" t="inlineStr">
        <is>
          <t>mm</t>
        </is>
      </c>
      <c r="F37" s="8" t="n"/>
      <c r="G37" s="10" t="n"/>
      <c r="H37" s="9">
        <f>IF(NOT(ISNUMBER(D37)),"",IF(ISNUMBER(G37),G37-D37,IF(ISNUMBER(F37),F37-D37,"")))</f>
        <v/>
      </c>
      <c r="I37" s="9" t="n"/>
      <c r="J37" s="11">
        <f>IF(OR(H37="",I37=""),"",IF(ABS(H37)&gt;I37,IF(ISNUMBER(G37),"UPDATE","UPDATE (spec)"),"ok"))</f>
        <v/>
      </c>
      <c r="K37" s="5" t="inlineStr"/>
    </row>
    <row r="38">
      <c r="A38" s="9" t="inlineStr">
        <is>
          <t>Projector</t>
        </is>
      </c>
      <c r="B38" s="5" t="inlineStr">
        <is>
          <t>Throw ratio</t>
        </is>
      </c>
      <c r="C38" s="9" t="inlineStr">
        <is>
          <t>throw_ratio</t>
        </is>
      </c>
      <c r="D38" s="9" t="n">
        <v>0.95</v>
      </c>
      <c r="E38" s="9" t="inlineStr"/>
      <c r="F38" s="8" t="n">
        <v>0.95</v>
      </c>
      <c r="G38" s="11">
        <f>IF(AND(ISNUMBER(G36),ISNUMBER(G37),G37&gt;0),ROUND(G36/G37,2),"")</f>
        <v/>
      </c>
      <c r="H38" s="9">
        <f>IF(NOT(ISNUMBER(D38)),"",IF(ISNUMBER(G38),G38-D38,IF(ISNUMBER(F38),F38-D38,"")))</f>
        <v/>
      </c>
      <c r="I38" s="9" t="n">
        <v>0.1</v>
      </c>
      <c r="J38" s="11">
        <f>IF(OR(H38="",I38=""),"",IF(ABS(H38)&gt;I38,IF(ISNUMBER(G38),"UPDATE","UPDATE (spec)"),"ok"))</f>
        <v/>
      </c>
      <c r="K38" s="5" t="inlineStr">
        <is>
          <t>Spec is derived from the manual's image sizes (36 in at 2.5 ft, 72 in at 5 ft, 150 in at 10 ft: 0.92 to 0.96; 250 in at 16 ft gives 0.88). Measured is computed from the two helper rows above. Do not type here.</t>
        </is>
      </c>
    </row>
    <row r="39">
      <c r="A39" s="9" t="inlineStr">
        <is>
          <t>Projector</t>
        </is>
      </c>
      <c r="B39" s="5" t="inlineStr">
        <is>
          <t>Image height at that distance (helper)</t>
        </is>
      </c>
      <c r="C39" s="9" t="n"/>
      <c r="D39" s="9" t="n"/>
      <c r="E39" s="9" t="inlineStr">
        <is>
          <t>mm</t>
        </is>
      </c>
      <c r="F39" s="8" t="n"/>
      <c r="G39" s="10" t="n"/>
      <c r="H39" s="9">
        <f>IF(NOT(ISNUMBER(D39)),"",IF(ISNUMBER(G39),G39-D39,IF(ISNUMBER(F39),F39-D39,"")))</f>
        <v/>
      </c>
      <c r="I39" s="9" t="n"/>
      <c r="J39" s="11">
        <f>IF(OR(H39="",I39=""),"",IF(ABS(H39)&gt;I39,IF(ISNUMBER(G39),"UPDATE","UPDATE (spec)"),"ok"))</f>
        <v/>
      </c>
      <c r="K39" s="5" t="inlineStr"/>
    </row>
    <row r="40">
      <c r="A40" s="9" t="inlineStr">
        <is>
          <t>Projector</t>
        </is>
      </c>
      <c r="B40" s="5" t="inlineStr">
        <is>
          <t>Image bottom edge above lens axis (helper, negative if below)</t>
        </is>
      </c>
      <c r="C40" s="9" t="n"/>
      <c r="D40" s="9" t="n"/>
      <c r="E40" s="9" t="inlineStr">
        <is>
          <t>mm</t>
        </is>
      </c>
      <c r="F40" s="8" t="n"/>
      <c r="G40" s="10" t="n"/>
      <c r="H40" s="9">
        <f>IF(NOT(ISNUMBER(D40)),"",IF(ISNUMBER(G40),G40-D40,IF(ISNUMBER(F40),F40-D40,"")))</f>
        <v/>
      </c>
      <c r="I40" s="9" t="n"/>
      <c r="J40" s="11">
        <f>IF(OR(H40="",I40=""),"",IF(ABS(H40)&gt;I40,IF(ISNUMBER(G40),"UPDATE","UPDATE (spec)"),"ok"))</f>
        <v/>
      </c>
      <c r="K40" s="5" t="inlineStr">
        <is>
          <t>Lens axis = lens centre height on the wall, projector level.</t>
        </is>
      </c>
    </row>
    <row r="41">
      <c r="A41" s="9" t="inlineStr">
        <is>
          <t>Projector</t>
        </is>
      </c>
      <c r="B41" s="5" t="inlineStr">
        <is>
          <t>Lens offset (0 = centred on axis, 1 = bottom on axis)</t>
        </is>
      </c>
      <c r="C41" s="9" t="inlineStr">
        <is>
          <t>lens_offset</t>
        </is>
      </c>
      <c r="D41" s="9" t="n">
        <v>0</v>
      </c>
      <c r="E41" s="9" t="inlineStr"/>
      <c r="F41" s="8" t="n"/>
      <c r="G41" s="11">
        <f>IF(AND(ISNUMBER(G39),ISNUMBER(G40),G39&gt;0),ROUND(2*G40/G39+1,2),"")</f>
        <v/>
      </c>
      <c r="H41" s="9">
        <f>IF(NOT(ISNUMBER(D41)),"",IF(ISNUMBER(G41),G41-D41,IF(ISNUMBER(F41),F41-D41,"")))</f>
        <v/>
      </c>
      <c r="I41" s="9" t="n">
        <v>0.1</v>
      </c>
      <c r="J41" s="11">
        <f>IF(OR(H41="",I41=""),"",IF(ABS(H41)&gt;I41,IF(ISNUMBER(G41),"UPDATE","UPDATE (spec)"),"ok"))</f>
        <v/>
      </c>
      <c r="K41" s="5" t="inlineStr">
        <is>
          <t>Computed: 2 x bottom / height + 1. Do not type here.</t>
        </is>
      </c>
    </row>
    <row r="42">
      <c r="A42" s="9" t="inlineStr">
        <is>
          <t>Projector</t>
        </is>
      </c>
      <c r="B42" s="5" t="inlineStr">
        <is>
          <t>Power draw</t>
        </is>
      </c>
      <c r="C42" s="9" t="n"/>
      <c r="D42" s="9" t="n"/>
      <c r="E42" s="9" t="inlineStr">
        <is>
          <t>W</t>
        </is>
      </c>
      <c r="F42" s="8" t="n">
        <v>50</v>
      </c>
      <c r="G42" s="10" t="n"/>
      <c r="H42" s="9">
        <f>IF(NOT(ISNUMBER(D42)),"",IF(ISNUMBER(G42),G42-D42,IF(ISNUMBER(F42),F42-D42,"")))</f>
        <v/>
      </c>
      <c r="I42" s="9" t="n"/>
      <c r="J42" s="11">
        <f>IF(OR(H42="",I42=""),"",IF(ABS(H42)&gt;I42,IF(ISNUMBER(G42),"UPDATE","UPDATE (spec)"),"ok"))</f>
        <v/>
      </c>
      <c r="K42" s="5" t="inlineStr">
        <is>
          <t>Manual: 50 W. Sizes the brick and the DC fuse.</t>
        </is>
      </c>
    </row>
    <row r="43">
      <c r="A43" s="9" t="inlineStr">
        <is>
          <t>Ball head</t>
        </is>
      </c>
      <c r="B43" s="5" t="inlineStr">
        <is>
          <t>Height, base to top of stud, head level</t>
        </is>
      </c>
      <c r="C43" s="9" t="inlineStr">
        <is>
          <t>ball_head_h</t>
        </is>
      </c>
      <c r="D43" s="9" t="n">
        <v>40</v>
      </c>
      <c r="E43" s="9" t="inlineStr">
        <is>
          <t>mm</t>
        </is>
      </c>
      <c r="F43" s="8" t="n"/>
      <c r="G43" s="10" t="n"/>
      <c r="H43" s="9">
        <f>IF(NOT(ISNUMBER(D43)),"",IF(ISNUMBER(G43),G43-D43,IF(ISNUMBER(F43),F43-D43,"")))</f>
        <v/>
      </c>
      <c r="I43" s="9" t="n">
        <v>2</v>
      </c>
      <c r="J43" s="11">
        <f>IF(OR(H43="",I43=""),"",IF(ABS(H43)&gt;I43,IF(ISNUMBER(G43),"UPDATE","UPDATE (spec)"),"ok"))</f>
        <v/>
      </c>
      <c r="K43" s="5" t="inlineStr"/>
    </row>
    <row r="44">
      <c r="A44" s="9" t="inlineStr">
        <is>
          <t>Ball head</t>
        </is>
      </c>
      <c r="B44" s="5" t="inlineStr">
        <is>
          <t>Ball centre above base</t>
        </is>
      </c>
      <c r="C44" s="9" t="inlineStr">
        <is>
          <t>pivot_h</t>
        </is>
      </c>
      <c r="D44" s="9" t="n">
        <v>25</v>
      </c>
      <c r="E44" s="9" t="inlineStr">
        <is>
          <t>mm</t>
        </is>
      </c>
      <c r="F44" s="8" t="n"/>
      <c r="G44" s="10" t="n"/>
      <c r="H44" s="9">
        <f>IF(NOT(ISNUMBER(D44)),"",IF(ISNUMBER(G44),G44-D44,IF(ISNUMBER(F44),F44-D44,"")))</f>
        <v/>
      </c>
      <c r="I44" s="9" t="n">
        <v>2</v>
      </c>
      <c r="J44" s="11">
        <f>IF(OR(H44="",I44=""),"",IF(ABS(H44)&gt;I44,IF(ISNUMBER(G44),"UPDATE","UPDATE (spec)"),"ok"))</f>
        <v/>
      </c>
      <c r="K44" s="5" t="inlineStr">
        <is>
          <t>The aim pivot.</t>
        </is>
      </c>
    </row>
    <row r="45">
      <c r="A45" s="9" t="inlineStr">
        <is>
          <t>Ball head</t>
        </is>
      </c>
      <c r="B45" s="5" t="inlineStr">
        <is>
          <t>Base diameter</t>
        </is>
      </c>
      <c r="C45" s="9" t="n"/>
      <c r="D45" s="9" t="n"/>
      <c r="E45" s="9" t="inlineStr">
        <is>
          <t>mm</t>
        </is>
      </c>
      <c r="F45" s="8" t="n"/>
      <c r="G45" s="10" t="n"/>
      <c r="H45" s="9">
        <f>IF(NOT(ISNUMBER(D45)),"",IF(ISNUMBER(G45),G45-D45,IF(ISNUMBER(F45),F45-D45,"")))</f>
        <v/>
      </c>
      <c r="I45" s="9" t="n"/>
      <c r="J45" s="11">
        <f>IF(OR(H45="",I45=""),"",IF(ABS(H45)&gt;I45,IF(ISNUMBER(G45),"UPDATE","UPDATE (spec)"),"ok"))</f>
        <v/>
      </c>
      <c r="K45" s="5" t="inlineStr">
        <is>
          <t>Must sit on the 40 mm pedestal top.</t>
        </is>
      </c>
    </row>
    <row r="46">
      <c r="A46" s="9" t="inlineStr">
        <is>
          <t>Ball head</t>
        </is>
      </c>
      <c r="B46" s="5" t="inlineStr">
        <is>
          <t>Lock knob height above base</t>
        </is>
      </c>
      <c r="C46" s="9" t="n"/>
      <c r="D46" s="9" t="n"/>
      <c r="E46" s="9" t="inlineStr">
        <is>
          <t>mm</t>
        </is>
      </c>
      <c r="F46" s="8" t="n"/>
      <c r="G46" s="10" t="n"/>
      <c r="H46" s="9">
        <f>IF(NOT(ISNUMBER(D46)),"",IF(ISNUMBER(G46),G46-D46,IF(ISNUMBER(F46),F46-D46,"")))</f>
        <v/>
      </c>
      <c r="I46" s="9" t="n"/>
      <c r="J46" s="11">
        <f>IF(OR(H46="",I46=""),"",IF(ABS(H46)&gt;I46,IF(ISNUMBER(G46),"UPDATE","UPDATE (spec)"),"ok"))</f>
        <v/>
      </c>
      <c r="K46" s="5" t="inlineStr">
        <is>
          <t>Hatch centre is hatch_zc (56) above the floor; pedestal top is 30, so the ball sits about 55. Knob must land in the diamond (108 mm tip to tip).</t>
        </is>
      </c>
    </row>
    <row r="47">
      <c r="A47" s="9" t="inlineStr">
        <is>
          <t>Ball head</t>
        </is>
      </c>
      <c r="B47" s="5" t="inlineStr">
        <is>
          <t>Stud thread length</t>
        </is>
      </c>
      <c r="C47" s="9" t="n"/>
      <c r="D47" s="9" t="n"/>
      <c r="E47" s="9" t="inlineStr">
        <is>
          <t>mm</t>
        </is>
      </c>
      <c r="F47" s="8" t="n"/>
      <c r="G47" s="10" t="n"/>
      <c r="H47" s="9">
        <f>IF(NOT(ISNUMBER(D47)),"",IF(ISNUMBER(G47),G47-D47,IF(ISNUMBER(F47),F47-D47,"")))</f>
        <v/>
      </c>
      <c r="I47" s="9" t="n">
        <v>0.5</v>
      </c>
      <c r="J47" s="11">
        <f>IF(OR(H47="",I47=""),"",IF(ABS(H47)&gt;I47,IF(ISNUMBER(G47),"UPDATE","UPDATE (spec)"),"ok"))</f>
        <v/>
      </c>
      <c r="K47" s="5" t="inlineStr">
        <is>
          <t>Compare with the socket recess depth. Too long bottoms out before it clamps; too short strips the socket.</t>
        </is>
      </c>
    </row>
    <row r="48">
      <c r="A48" s="9" t="inlineStr">
        <is>
          <t>Ball head</t>
        </is>
      </c>
      <c r="B48" s="5" t="inlineStr">
        <is>
          <t>Platform diameter under the stud</t>
        </is>
      </c>
      <c r="C48" s="9" t="n"/>
      <c r="D48" s="9" t="n"/>
      <c r="E48" s="9" t="inlineStr">
        <is>
          <t>mm</t>
        </is>
      </c>
      <c r="F48" s="8" t="n"/>
      <c r="G48" s="10" t="n"/>
      <c r="H48" s="9">
        <f>IF(NOT(ISNUMBER(D48)),"",IF(ISNUMBER(G48),G48-D48,IF(ISNUMBER(F48),F48-D48,"")))</f>
        <v/>
      </c>
      <c r="I48" s="9" t="n">
        <v>1</v>
      </c>
      <c r="J48" s="11">
        <f>IF(OR(H48="",I48=""),"",IF(ABS(H48)&gt;I48,IF(ISNUMBER(G48),"UPDATE","UPDATE (spec)"),"ok"))</f>
        <v/>
      </c>
      <c r="K48" s="5" t="inlineStr">
        <is>
          <t>Has to sit inside the projector's flat area.</t>
        </is>
      </c>
    </row>
    <row r="49">
      <c r="A49" s="9" t="inlineStr">
        <is>
          <t>Ball head</t>
        </is>
      </c>
      <c r="B49" s="5" t="inlineStr">
        <is>
          <t>Base thread diameter (1/4-20 = 6.35, 3/8-16 = 9.5)</t>
        </is>
      </c>
      <c r="C49" s="9" t="n"/>
      <c r="D49" s="9" t="n"/>
      <c r="E49" s="9" t="inlineStr">
        <is>
          <t>mm</t>
        </is>
      </c>
      <c r="F49" s="8" t="n"/>
      <c r="G49" s="10" t="n"/>
      <c r="H49" s="9">
        <f>IF(NOT(ISNUMBER(D49)),"",IF(ISNUMBER(G49),G49-D49,IF(ISNUMBER(F49),F49-D49,"")))</f>
        <v/>
      </c>
      <c r="I49" s="9" t="n">
        <v>0.3</v>
      </c>
      <c r="J49" s="11">
        <f>IF(OR(H49="",I49=""),"",IF(ABS(H49)&gt;I49,IF(ISNUMBER(G49),"UPDATE","UPDATE (spec)"),"ok"))</f>
        <v/>
      </c>
      <c r="K49" s="5" t="inlineStr">
        <is>
          <t>The pedestal column takes a 1/4-20 insert (insert_d). A 3/8-16 base needs a reducer bushing.</t>
        </is>
      </c>
    </row>
    <row r="50">
      <c r="A50" s="9" t="inlineStr">
        <is>
          <t>Ball head</t>
        </is>
      </c>
      <c r="B50" s="5" t="inlineStr">
        <is>
          <t>Lock knob diameter</t>
        </is>
      </c>
      <c r="C50" s="9" t="n"/>
      <c r="D50" s="9" t="n"/>
      <c r="E50" s="9" t="inlineStr">
        <is>
          <t>mm</t>
        </is>
      </c>
      <c r="F50" s="8" t="n"/>
      <c r="G50" s="10" t="n"/>
      <c r="H50" s="9">
        <f>IF(NOT(ISNUMBER(D50)),"",IF(ISNUMBER(G50),G50-D50,IF(ISNUMBER(F50),F50-D50,"")))</f>
        <v/>
      </c>
      <c r="I50" s="9" t="n">
        <v>2</v>
      </c>
      <c r="J50" s="11">
        <f>IF(OR(H50="",I50=""),"",IF(ABS(H50)&gt;I50,IF(ISNUMBER(G50),"UPDATE","UPDATE (spec)"),"ok"))</f>
        <v/>
      </c>
      <c r="K50" s="5" t="inlineStr">
        <is>
          <t>Knob plus the fingers that turn it must fit the 108 mm diamond.</t>
        </is>
      </c>
    </row>
    <row r="51">
      <c r="A51" s="9" t="inlineStr">
        <is>
          <t>Ball head</t>
        </is>
      </c>
      <c r="B51" s="5" t="inlineStr">
        <is>
          <t>Lock knob reach from the ball centre, horizontal</t>
        </is>
      </c>
      <c r="C51" s="9" t="n"/>
      <c r="D51" s="9" t="n"/>
      <c r="E51" s="9" t="inlineStr">
        <is>
          <t>mm</t>
        </is>
      </c>
      <c r="F51" s="8" t="n"/>
      <c r="G51" s="10" t="n"/>
      <c r="H51" s="9">
        <f>IF(NOT(ISNUMBER(D51)),"",IF(ISNUMBER(G51),G51-D51,IF(ISNUMBER(F51),F51-D51,"")))</f>
        <v/>
      </c>
      <c r="I51" s="9" t="n">
        <v>2</v>
      </c>
      <c r="J51" s="11">
        <f>IF(OR(H51="",I51=""),"",IF(ABS(H51)&gt;I51,IF(ISNUMBER(G51),"UPDATE","UPDATE (spec)"),"ok"))</f>
        <v/>
      </c>
      <c r="K51" s="5" t="inlineStr">
        <is>
          <t>Ball centre to knob tip. The ball sits about 55 above the floor and roughly centred in X, so this says where the knob lands in the hatch.</t>
        </is>
      </c>
    </row>
    <row r="52">
      <c r="A52" s="9" t="inlineStr">
        <is>
          <t>Ball head</t>
        </is>
      </c>
      <c r="B52" s="5" t="inlineStr">
        <is>
          <t>Tilt before the projector body hits the head</t>
        </is>
      </c>
      <c r="C52" s="9" t="inlineStr">
        <is>
          <t>aim_max</t>
        </is>
      </c>
      <c r="D52" s="9" t="n">
        <v>15</v>
      </c>
      <c r="E52" s="9" t="inlineStr">
        <is>
          <t>deg</t>
        </is>
      </c>
      <c r="F52" s="8" t="n"/>
      <c r="G52" s="10" t="n"/>
      <c r="H52" s="9">
        <f>IF(NOT(ISNUMBER(D52)),"",IF(ISNUMBER(G52),G52-D52,IF(ISNUMBER(F52),F52-D52,"")))</f>
        <v/>
      </c>
      <c r="I52" s="9" t="n">
        <v>1</v>
      </c>
      <c r="J52" s="11">
        <f>IF(OR(H52="",I52=""),"",IF(ABS(H52)&gt;I52,IF(ISNUMBER(G52),"UPDATE","UPDATE (spec)"),"ok"))</f>
        <v/>
      </c>
      <c r="K52" s="5" t="inlineStr">
        <is>
          <t>Projector mounted, tilt until it touches.</t>
        </is>
      </c>
    </row>
    <row r="53">
      <c r="A53" s="9" t="inlineStr">
        <is>
          <t>Wall-wart</t>
        </is>
      </c>
      <c r="B53" s="5" t="inlineStr">
        <is>
          <t>Stock wall-wart length (X on the shelf)</t>
        </is>
      </c>
      <c r="C53" s="9" t="inlineStr">
        <is>
          <t>wart_l</t>
        </is>
      </c>
      <c r="D53" s="9">
        <v>86</v>
      </c>
      <c r="E53" s="9" t="inlineStr">
        <is>
          <t>mm</t>
        </is>
      </c>
      <c r="F53" s="8" t="n"/>
      <c r="G53" s="10">
        <v>85.6</v>
      </c>
      <c r="H53" s="9">
        <f>IF(NOT(ISNUMBER(D53)),"",IF(ISNUMBER(G53),G53-D53,IF(ISNUMBER(F53),F53-D53,"")))</f>
        <v/>
      </c>
      <c r="I53" s="9" t="n">
        <v>2</v>
      </c>
      <c r="J53" s="11">
        <f>IF(OR(H53="",I53=""),"",IF(ABS(H53)&gt;I53,IF(ISNUMBER(G53),"UPDATE","UPDATE (spec)"),"ok"))</f>
        <v/>
      </c>
      <c r="K53" s="5" t="inlineStr">
        <is>
          <t>Hangs on the shelf receptacle plate standing on its long edge, cord end toward the barrier. 85.6 by caliper (photo, 2026-10-05).</t>
        </is>
      </c>
    </row>
    <row r="54">
      <c r="A54" s="9" t="inlineStr">
        <is>
          <t>Wall-wart</t>
        </is>
      </c>
      <c r="B54" s="5" t="inlineStr">
        <is>
          <t>Width = standing height (Z)</t>
        </is>
      </c>
      <c r="C54" s="9" t="inlineStr">
        <is>
          <t>wart_w</t>
        </is>
      </c>
      <c r="D54" s="9">
        <v>47</v>
      </c>
      <c r="E54" s="9" t="inlineStr">
        <is>
          <t>mm</t>
        </is>
      </c>
      <c r="F54" s="8" t="n"/>
      <c r="G54" s="10">
        <v>47</v>
      </c>
      <c r="H54" s="9">
        <f>IF(NOT(ISNUMBER(D54)),"",IF(ISNUMBER(G54),G54-D54,IF(ISNUMBER(F54),F54-D54,"")))</f>
        <v/>
      </c>
      <c r="I54" s="9" t="n">
        <v>2</v>
      </c>
      <c r="J54" s="11">
        <f>IF(OR(H54="",I54=""),"",IF(ABS(H54)&gt;I54,IF(ISNUMBER(G54),"UPDATE","UPDATE (spec)"),"ok"))</f>
        <v/>
      </c>
      <c r="K54" s="5" t="inlineStr">
        <is>
          <t>Scaled off the 2026-10-05 photo against the 85.6 caliper reading; confirm with calipers. The two-wart stack has about 3 mm under the lid roof, asserted.</t>
        </is>
      </c>
    </row>
    <row r="55">
      <c r="A55" s="9" t="inlineStr">
        <is>
          <t>Wall-wart</t>
        </is>
      </c>
      <c r="B55" s="5" t="inlineStr">
        <is>
          <t>Thickness, prong face to back (Y)</t>
        </is>
      </c>
      <c r="C55" s="9" t="inlineStr">
        <is>
          <t>wart_t</t>
        </is>
      </c>
      <c r="D55" s="9">
        <v>35</v>
      </c>
      <c r="E55" s="9" t="inlineStr">
        <is>
          <t>mm</t>
        </is>
      </c>
      <c r="F55" s="8" t="n"/>
      <c r="G55" s="10" t="n"/>
      <c r="H55" s="9">
        <f>IF(NOT(ISNUMBER(D55)),"",IF(ISNUMBER(G55),G55-D55,IF(ISNUMBER(F55),F55-D55,"")))</f>
        <v/>
      </c>
      <c r="I55" s="9" t="n">
        <v>2</v>
      </c>
      <c r="J55" s="11">
        <f>IF(OR(H55="",I55=""),"",IF(ABS(H55)&gt;I55,IF(ISNUMBER(G55),"UPDATE","UPDATE (spec)"),"ok"))</f>
        <v/>
      </c>
      <c r="K55" s="5" t="inlineStr">
        <is>
          <t>Not measured yet. Body only, prongs excluded. Sets how far the warts hang off the plate toward the divider.</t>
        </is>
      </c>
    </row>
    <row r="56">
      <c r="A56" s="9" t="inlineStr">
        <is>
          <t>DC brick</t>
        </is>
      </c>
      <c r="B56" s="5" t="inlineStr">
        <is>
          <t>Output voltage</t>
        </is>
      </c>
      <c r="C56" s="9" t="n"/>
      <c r="D56" s="9" t="n">
        <v>21</v>
      </c>
      <c r="E56" s="9" t="inlineStr">
        <is>
          <t>V</t>
        </is>
      </c>
      <c r="F56" s="8" t="n">
        <v>21</v>
      </c>
      <c r="G56" s="10">
        <v>21</v>
      </c>
      <c r="H56" s="9">
        <f>IF(NOT(ISNUMBER(D56)),"",IF(ISNUMBER(G56),G56-D56,IF(ISNUMBER(F56),F56-D56,"")))</f>
        <v/>
      </c>
      <c r="I56" s="9" t="n">
        <v>0.5</v>
      </c>
      <c r="J56" s="11">
        <f>IF(OR(H56="",I56=""),"",IF(ABS(H56)&gt;I56,IF(ISNUMBER(G56),"UPDATE","UPDATE (spec)"),"ok"))</f>
        <v/>
      </c>
      <c r="K56" s="5" t="inlineStr">
        <is>
          <t>Projector label reads DC 21 V (confirm with a meter). Amp4 takes 12-24 V; fans must be 24 V parts.</t>
        </is>
      </c>
    </row>
    <row r="57">
      <c r="A57" s="9" t="inlineStr">
        <is>
          <t>DC brick</t>
        </is>
      </c>
      <c r="B57" s="5" t="inlineStr">
        <is>
          <t>Output current</t>
        </is>
      </c>
      <c r="C57" s="9" t="n"/>
      <c r="D57" s="9" t="n"/>
      <c r="E57" s="9" t="inlineStr">
        <is>
          <t>A</t>
        </is>
      </c>
      <c r="F57" s="8" t="n">
        <v>3</v>
      </c>
      <c r="G57" s="10">
        <v>2.28</v>
      </c>
      <c r="H57" s="9">
        <f>IF(NOT(ISNUMBER(D57)),"",IF(ISNUMBER(G57),G57-D57,IF(ISNUMBER(F57),F57-D57,"")))</f>
        <v/>
      </c>
      <c r="I57" s="9" t="n"/>
      <c r="J57" s="11">
        <f>IF(OR(H57="",I57=""),"",IF(ABS(H57)&gt;I57,IF(ISNUMBER(G57),"UPDATE","UPDATE (spec)"),"ok"))</f>
        <v/>
      </c>
      <c r="K57" s="5" t="inlineStr">
        <is>
          <t>Label: 48 W, 21 V 2.28 A. Model MX48CC-210228US. Covers the projector alone; a second 24 V wall-wart on the upper receptacle feeds the Pi, Amp4 and fans. Sizes the 21 V fuse.</t>
        </is>
      </c>
    </row>
    <row r="58">
      <c r="A58" s="9" t="inlineStr">
        <is>
          <t>DC brick</t>
        </is>
      </c>
      <c r="B58" s="5" t="inlineStr">
        <is>
          <t>Input current</t>
        </is>
      </c>
      <c r="C58" s="9" t="n"/>
      <c r="D58" s="9" t="n"/>
      <c r="E58" s="9" t="inlineStr">
        <is>
          <t>A</t>
        </is>
      </c>
      <c r="F58" s="8" t="n"/>
      <c r="G58" s="10">
        <v>1.0</v>
      </c>
      <c r="H58" s="9">
        <f>IF(NOT(ISNUMBER(D58)),"",IF(ISNUMBER(G58),G58-D58,IF(ISNUMBER(F58),F58-D58,"")))</f>
        <v/>
      </c>
      <c r="I58" s="9" t="n"/>
      <c r="J58" s="11">
        <f>IF(OR(H58="",I58=""),"",IF(ABS(H58)&gt;I58,IF(ISNUMBER(G58),"UPDATE","UPDATE (spec)"),"ok"))</f>
        <v/>
      </c>
      <c r="K58" s="5" t="inlineStr">
        <is>
          <t>Label: AC 100-240 V 50/60 Hz 1.0 A max. Add the second wall-wart's input current; sizes the AC fuse (3 A T).</t>
        </is>
      </c>
    </row>
    <row r="59">
      <c r="A59" s="9" t="inlineStr">
        <is>
          <t>DC brick</t>
        </is>
      </c>
      <c r="B59" s="5" t="inlineStr">
        <is>
          <t>AC cord outer diameter</t>
        </is>
      </c>
      <c r="C59" s="9" t="inlineStr">
        <is>
          <t>(gland_d)</t>
        </is>
      </c>
      <c r="D59" s="9" t="n"/>
      <c r="E59" s="9" t="inlineStr">
        <is>
          <t>mm</t>
        </is>
      </c>
      <c r="F59" s="8" t="n"/>
      <c r="G59" s="10" t="inlineStr">
        <is>
          <t>n/a</t>
        </is>
      </c>
      <c r="H59" s="9">
        <f>IF(NOT(ISNUMBER(D59)),"",IF(ISNUMBER(G59),G59-D59,IF(ISNUMBER(F59),F59-D59,"")))</f>
        <v/>
      </c>
      <c r="I59" s="9" t="n"/>
      <c r="J59" s="11">
        <f>IF(OR(H59="",I59=""),"",IF(ABS(H59)&gt;I59,IF(ISNUMBER(G59),"UPDATE","UPDATE (spec)"),"ok"))</f>
        <v/>
      </c>
      <c r="K59" s="5" t="inlineStr">
        <is>
          <t>Wall-wart with fixed prongs: no AC cord. The outdoor cord (SJTW 18 AWG, 3-wire) goes through the PG9 to the receptacles.</t>
        </is>
      </c>
    </row>
    <row r="60">
      <c r="A60" s="9" t="inlineStr">
        <is>
          <t>DC brick</t>
        </is>
      </c>
      <c r="B60" s="5" t="inlineStr">
        <is>
          <t>DC cable length, brick to barrel plug</t>
        </is>
      </c>
      <c r="C60" s="9" t="n"/>
      <c r="D60" s="9" t="n"/>
      <c r="E60" s="9" t="inlineStr">
        <is>
          <t>mm</t>
        </is>
      </c>
      <c r="F60" s="8" t="n"/>
      <c r="G60" s="10" t="n"/>
      <c r="H60" s="9">
        <f>IF(NOT(ISNUMBER(D60)),"",IF(ISNUMBER(G60),G60-D60,IF(ISNUMBER(F60),F60-D60,"")))</f>
        <v/>
      </c>
      <c r="I60" s="9" t="n">
        <v>50</v>
      </c>
      <c r="J60" s="11">
        <f>IF(OR(H60="",I60=""),"",IF(ABS(H60)&gt;I60,IF(ISNUMBER(G60),"UPDATE","UPDATE (spec)"),"ok"))</f>
        <v/>
      </c>
      <c r="K60" s="5" t="inlineStr">
        <is>
          <t>Has to reach from the shelf, over the divider, to the projector's rear jack at 15 deg up-tilt, with the relay and fuse holder spliced in. Spare goes in a loop on the low-voltage side, not coiled by the brick.</t>
        </is>
      </c>
    </row>
    <row r="61">
      <c r="A61" s="9" t="inlineStr">
        <is>
          <t>DC brick</t>
        </is>
      </c>
      <c r="B61" s="5" t="inlineStr">
        <is>
          <t>AC cord length, brick to gland</t>
        </is>
      </c>
      <c r="C61" s="9" t="n"/>
      <c r="D61" s="9" t="n"/>
      <c r="E61" s="9" t="inlineStr">
        <is>
          <t>mm</t>
        </is>
      </c>
      <c r="F61" s="8" t="n"/>
      <c r="G61" s="10" t="n"/>
      <c r="H61" s="9">
        <f>IF(NOT(ISNUMBER(D61)),"",IF(ISNUMBER(G61),G61-D61,IF(ISNUMBER(F61),F61-D61,"")))</f>
        <v/>
      </c>
      <c r="I61" s="9" t="n">
        <v>50</v>
      </c>
      <c r="J61" s="11">
        <f>IF(OR(H61="",I61=""),"",IF(ABS(H61)&gt;I61,IF(ISNUMBER(G61),"UPDATE","UPDATE (spec)"),"ok"))</f>
        <v/>
      </c>
      <c r="K61" s="5" t="inlineStr">
        <is>
          <t>The gland is at cord_x (-94), cord_dz (20) above the shelf, in the rear-left corner beside the receptacle plate. Needs a drip loop inside the case.</t>
        </is>
      </c>
    </row>
    <row r="62">
      <c r="A62" s="9" t="inlineStr">
        <is>
          <t>DC brick</t>
        </is>
      </c>
      <c r="B62" s="5" t="inlineStr">
        <is>
          <t>Inline fuse holder length and diameter (x2)</t>
        </is>
      </c>
      <c r="C62" s="9" t="n"/>
      <c r="D62" s="9" t="n"/>
      <c r="E62" s="9" t="inlineStr">
        <is>
          <t>mm</t>
        </is>
      </c>
      <c r="F62" s="8" t="n"/>
      <c r="G62" s="10" t="n"/>
      <c r="H62" s="9">
        <f>IF(NOT(ISNUMBER(D62)),"",IF(ISNUMBER(G62),G62-D62,IF(ISNUMBER(F62),F62-D62,"")))</f>
        <v/>
      </c>
      <c r="I62" s="9" t="n"/>
      <c r="J62" s="11">
        <f>IF(OR(H62="",I62=""),"",IF(ABS(H62)&gt;I62,IF(ISNUMBER(G62),"UPDATE","UPDATE (spec)"),"ok"))</f>
        <v/>
      </c>
      <c r="K62" s="5" t="inlineStr">
        <is>
          <t>One on the AC live, one per DC rail (21 V projector, 24 V Pi/Amp4/fans). Type L x D. The AC one sits behind the receptacle plate, the DC ones on the low-voltage side.</t>
        </is>
      </c>
    </row>
    <row r="63">
      <c r="A63" s="9" t="inlineStr">
        <is>
          <t>DC brick</t>
        </is>
      </c>
      <c r="B63" s="5" t="inlineStr">
        <is>
          <t>Relay module footprint, L x W x H</t>
        </is>
      </c>
      <c r="C63" s="9" t="n"/>
      <c r="D63" s="9" t="n"/>
      <c r="E63" s="9" t="inlineStr">
        <is>
          <t>mm</t>
        </is>
      </c>
      <c r="F63" s="8" t="n"/>
      <c r="G63" s="10" t="n"/>
      <c r="H63" s="9">
        <f>IF(NOT(ISNUMBER(D63)),"",IF(ISNUMBER(G63),G63-D63,IF(ISNUMBER(F63),F63-D63,"")))</f>
        <v/>
      </c>
      <c r="I63" s="9" t="n"/>
      <c r="J63" s="11">
        <f>IF(OR(H63="",I63=""),"",IF(ABS(H63)&gt;I63,IF(ISNUMBER(G63),"UPDATE","UPDATE (spec)"),"ok"))</f>
        <v/>
      </c>
      <c r="K63" s="5" t="inlineStr">
        <is>
          <t>Low-voltage side of the shelf, between the zip-tie slots (tie_gap 34 mm apart). Only for the relay fallback.</t>
        </is>
      </c>
    </row>
    <row r="64">
      <c r="A64" s="9" t="inlineStr">
        <is>
          <t>DC brick</t>
        </is>
      </c>
      <c r="B64" s="5" t="inlineStr">
        <is>
          <t>Splice / terminal block footprint, L x W x H</t>
        </is>
      </c>
      <c r="C64" s="9" t="n"/>
      <c r="D64" s="9" t="n"/>
      <c r="E64" s="9" t="inlineStr">
        <is>
          <t>mm</t>
        </is>
      </c>
      <c r="F64" s="8" t="n"/>
      <c r="G64" s="10" t="n"/>
      <c r="H64" s="9">
        <f>IF(NOT(ISNUMBER(D64)),"",IF(ISNUMBER(G64),G64-D64,IF(ISNUMBER(F64),F64-D64,"")))</f>
        <v/>
      </c>
      <c r="I64" s="9" t="n"/>
      <c r="J64" s="11">
        <f>IF(OR(H64="",I64=""),"",IF(ABS(H64)&gt;I64,IF(ISNUMBER(G64),"UPDATE","UPDATE (spec)"),"ok"))</f>
        <v/>
      </c>
      <c r="K64" s="5" t="inlineStr">
        <is>
          <t>Feeds the projector plug and the Amp4.</t>
        </is>
      </c>
    </row>
    <row r="65">
      <c r="A65" s="9" t="inlineStr">
        <is>
          <t>Pi stack</t>
        </is>
      </c>
      <c r="B65" s="5" t="inlineStr">
        <is>
          <t>Pi 3/4: board bottom to top of Amp4</t>
        </is>
      </c>
      <c r="C65" s="9" t="inlineStr">
        <is>
          <t>pi_stack_h</t>
        </is>
      </c>
      <c r="D65" s="9" t="n">
        <v>40</v>
      </c>
      <c r="E65" s="9" t="inlineStr">
        <is>
          <t>mm</t>
        </is>
      </c>
      <c r="F65" s="8" t="n"/>
      <c r="G65" s="10" t="n"/>
      <c r="H65" s="9">
        <f>IF(NOT(ISNUMBER(D65)),"",IF(ISNUMBER(G65),G65-D65,IF(ISNUMBER(F65),F65-D65,"")))</f>
        <v/>
      </c>
      <c r="I65" s="9" t="n">
        <v>2</v>
      </c>
      <c r="J65" s="11">
        <f>IF(OR(H65="",I65=""),"",IF(ABS(H65)&gt;I65,IF(ISNUMBER(G65),"UPDATE","UPDATE (spec)"),"ok"))</f>
        <v/>
      </c>
      <c r="K65" s="5" t="inlineStr">
        <is>
          <t>Only the sled you will use.</t>
        </is>
      </c>
    </row>
    <row r="66">
      <c r="A66" s="9" t="inlineStr">
        <is>
          <t>Pi stack</t>
        </is>
      </c>
      <c r="B66" s="5" t="inlineStr">
        <is>
          <t>Pi 5 + Active Cooler: board bottom to top of Amp4</t>
        </is>
      </c>
      <c r="C66" s="9" t="inlineStr">
        <is>
          <t>pi5_stack_h</t>
        </is>
      </c>
      <c r="D66" s="9" t="n">
        <v>50</v>
      </c>
      <c r="E66" s="9" t="inlineStr">
        <is>
          <t>mm</t>
        </is>
      </c>
      <c r="F66" s="8" t="n"/>
      <c r="G66" s="10" t="n"/>
      <c r="H66" s="9">
        <f>IF(NOT(ISNUMBER(D66)),"",IF(ISNUMBER(G66),G66-D66,IF(ISNUMBER(F66),F66-D66,"")))</f>
        <v/>
      </c>
      <c r="I66" s="9" t="n">
        <v>2</v>
      </c>
      <c r="J66" s="11">
        <f>IF(OR(H66="",I66=""),"",IF(ABS(H66)&gt;I66,IF(ISNUMBER(G66),"UPDATE","UPDATE (spec)"),"ok"))</f>
        <v/>
      </c>
      <c r="K66" s="5" t="inlineStr"/>
    </row>
    <row r="67">
      <c r="A67" s="9" t="inlineStr">
        <is>
          <t>Pi stack</t>
        </is>
      </c>
      <c r="B67" s="5" t="inlineStr">
        <is>
          <t>Zero 2 W: board bottom to top of Amp4</t>
        </is>
      </c>
      <c r="C67" s="9" t="inlineStr">
        <is>
          <t>zero_stack_h</t>
        </is>
      </c>
      <c r="D67" s="9" t="n">
        <v>30</v>
      </c>
      <c r="E67" s="9" t="inlineStr">
        <is>
          <t>mm</t>
        </is>
      </c>
      <c r="F67" s="8" t="n"/>
      <c r="G67" s="10" t="n"/>
      <c r="H67" s="9">
        <f>IF(NOT(ISNUMBER(D67)),"",IF(ISNUMBER(G67),G67-D67,IF(ISNUMBER(F67),F67-D67,"")))</f>
        <v/>
      </c>
      <c r="I67" s="9" t="n">
        <v>2</v>
      </c>
      <c r="J67" s="11">
        <f>IF(OR(H67="",I67=""),"",IF(ABS(H67)&gt;I67,IF(ISNUMBER(G67),"UPDATE","UPDATE (spec)"),"ok"))</f>
        <v/>
      </c>
      <c r="K67" s="5" t="inlineStr"/>
    </row>
    <row r="68">
      <c r="A68" s="9" t="inlineStr">
        <is>
          <t>Pi stack</t>
        </is>
      </c>
      <c r="B68" s="5" t="inlineStr">
        <is>
          <t>Zero 2 W: HAT underside above board bottom</t>
        </is>
      </c>
      <c r="C68" s="9" t="inlineStr">
        <is>
          <t>zero_hat_z</t>
        </is>
      </c>
      <c r="D68" s="9" t="n">
        <v>13</v>
      </c>
      <c r="E68" s="9" t="inlineStr">
        <is>
          <t>mm</t>
        </is>
      </c>
      <c r="F68" s="8" t="n"/>
      <c r="G68" s="10" t="n"/>
      <c r="H68" s="9">
        <f>IF(NOT(ISNUMBER(D68)),"",IF(ISNUMBER(G68),G68-D68,IF(ISNUMBER(F68),F68-D68,"")))</f>
        <v/>
      </c>
      <c r="I68" s="9" t="n">
        <v>1</v>
      </c>
      <c r="J68" s="11">
        <f>IF(OR(H68="",I68=""),"",IF(ABS(H68)&gt;I68,IF(ISNUMBER(G68),"UPDATE","UPDATE (spec)"),"ok"))</f>
        <v/>
      </c>
      <c r="K68" s="5" t="inlineStr">
        <is>
          <t>Sets the HAT support posts.</t>
        </is>
      </c>
    </row>
    <row r="69">
      <c r="A69" s="9" t="inlineStr">
        <is>
          <t>Pi stack</t>
        </is>
      </c>
      <c r="B69" s="5" t="inlineStr">
        <is>
          <t>HDMI plug at the Pi: width</t>
        </is>
      </c>
      <c r="C69" s="9" t="inlineStr">
        <is>
          <t>hdmi_plug[0]</t>
        </is>
      </c>
      <c r="D69" s="9" t="n">
        <v>22</v>
      </c>
      <c r="E69" s="9" t="inlineStr">
        <is>
          <t>mm</t>
        </is>
      </c>
      <c r="F69" s="8" t="n"/>
      <c r="G69" s="10" t="n"/>
      <c r="H69" s="9">
        <f>IF(NOT(ISNUMBER(D69)),"",IF(ISNUMBER(G69),G69-D69,IF(ISNUMBER(F69),F69-D69,"")))</f>
        <v/>
      </c>
      <c r="I69" s="9" t="n">
        <v>1</v>
      </c>
      <c r="J69" s="11">
        <f>IF(OR(H69="",I69=""),"",IF(ABS(H69)&gt;I69,IF(ISNUMBER(G69),"UPDATE","UPDATE (spec)"),"ok"))</f>
        <v/>
      </c>
      <c r="K69" s="5" t="inlineStr">
        <is>
          <t>Plug fitted, with strain relief. Pi 4/5 use micro-HDMI: measure the adapter or cable end you will use. check_clash.sh keeps this box clear of the divider.</t>
        </is>
      </c>
    </row>
    <row r="70">
      <c r="A70" s="9" t="inlineStr">
        <is>
          <t>Pi stack</t>
        </is>
      </c>
      <c r="B70" s="5" t="inlineStr">
        <is>
          <t>HDMI plug at the Pi: length</t>
        </is>
      </c>
      <c r="C70" s="9" t="inlineStr">
        <is>
          <t>hdmi_plug[1]</t>
        </is>
      </c>
      <c r="D70" s="9" t="n">
        <v>45</v>
      </c>
      <c r="E70" s="9" t="inlineStr">
        <is>
          <t>mm</t>
        </is>
      </c>
      <c r="F70" s="8" t="n"/>
      <c r="G70" s="10" t="n"/>
      <c r="H70" s="9">
        <f>IF(NOT(ISNUMBER(D70)),"",IF(ISNUMBER(G70),G70-D70,IF(ISNUMBER(F70),F70-D70,"")))</f>
        <v/>
      </c>
      <c r="I70" s="9" t="n">
        <v>2</v>
      </c>
      <c r="J70" s="11">
        <f>IF(OR(H70="",I70=""),"",IF(ABS(H70)&gt;I70,IF(ISNUMBER(G70),"UPDATE","UPDATE (spec)"),"ok"))</f>
        <v/>
      </c>
      <c r="K70" s="5" t="inlineStr"/>
    </row>
    <row r="71">
      <c r="A71" s="9" t="inlineStr">
        <is>
          <t>Pi stack</t>
        </is>
      </c>
      <c r="B71" s="5" t="inlineStr">
        <is>
          <t>HDMI plug at the Pi: height</t>
        </is>
      </c>
      <c r="C71" s="9" t="inlineStr">
        <is>
          <t>hdmi_plug[2]</t>
        </is>
      </c>
      <c r="D71" s="9" t="n">
        <v>13</v>
      </c>
      <c r="E71" s="9" t="inlineStr">
        <is>
          <t>mm</t>
        </is>
      </c>
      <c r="F71" s="8" t="n"/>
      <c r="G71" s="10" t="n"/>
      <c r="H71" s="9">
        <f>IF(NOT(ISNUMBER(D71)),"",IF(ISNUMBER(G71),G71-D71,IF(ISNUMBER(F71),F71-D71,"")))</f>
        <v/>
      </c>
      <c r="I71" s="9" t="n">
        <v>1</v>
      </c>
      <c r="J71" s="11">
        <f>IF(OR(H71="",I71=""),"",IF(ABS(H71)&gt;I71,IF(ISNUMBER(G71),"UPDATE","UPDATE (spec)"),"ok"))</f>
        <v/>
      </c>
      <c r="K71" s="5" t="inlineStr"/>
    </row>
    <row r="72">
      <c r="A72" s="9" t="inlineStr">
        <is>
          <t>Pi stack</t>
        </is>
      </c>
      <c r="B72" s="5" t="inlineStr">
        <is>
          <t>DS18B20 probe diameter</t>
        </is>
      </c>
      <c r="C72" s="9" t="n"/>
      <c r="D72" s="9" t="n"/>
      <c r="E72" s="9" t="inlineStr">
        <is>
          <t>mm</t>
        </is>
      </c>
      <c r="F72" s="8" t="n"/>
      <c r="G72" s="10" t="n"/>
      <c r="H72" s="9">
        <f>IF(NOT(ISNUMBER(D72)),"",IF(ISNUMBER(G72),G72-D72,IF(ISNUMBER(F72),F72-D72,"")))</f>
        <v/>
      </c>
      <c r="I72" s="9" t="n">
        <v>0.5</v>
      </c>
      <c r="J72" s="11">
        <f>IF(OR(H72="",I72=""),"",IF(ABS(H72)&gt;I72,IF(ISNUMBER(G72),"UPDATE","UPDATE (spec)"),"ok"))</f>
        <v/>
      </c>
      <c r="K72" s="5" t="inlineStr">
        <is>
          <t>Two sensors: projector zone and Pi zone. Sets the clip or hole that holds each probe.</t>
        </is>
      </c>
    </row>
    <row r="73">
      <c r="A73" s="9" t="inlineStr">
        <is>
          <t>Fans</t>
        </is>
      </c>
      <c r="B73" s="5" t="inlineStr">
        <is>
          <t>Fan frame size</t>
        </is>
      </c>
      <c r="C73" s="9" t="inlineStr">
        <is>
          <t>fan</t>
        </is>
      </c>
      <c r="D73" s="9" t="n">
        <v>40</v>
      </c>
      <c r="E73" s="9" t="inlineStr">
        <is>
          <t>mm</t>
        </is>
      </c>
      <c r="F73" s="8" t="n"/>
      <c r="G73" s="10" t="n"/>
      <c r="H73" s="9">
        <f>IF(NOT(ISNUMBER(D73)),"",IF(ISNUMBER(G73),G73-D73,IF(ISNUMBER(F73),F73-D73,"")))</f>
        <v/>
      </c>
      <c r="I73" s="9" t="n">
        <v>0.5</v>
      </c>
      <c r="J73" s="11">
        <f>IF(OR(H73="",I73=""),"",IF(ABS(H73)&gt;I73,IF(ISNUMBER(G73),"UPDATE","UPDATE (spec)"),"ok"))</f>
        <v/>
      </c>
      <c r="K73" s="5" t="inlineStr">
        <is>
          <t>40 mm fans have 32 mm hole spacing.</t>
        </is>
      </c>
    </row>
    <row r="74">
      <c r="A74" s="9" t="inlineStr">
        <is>
          <t>Fans</t>
        </is>
      </c>
      <c r="B74" s="5" t="inlineStr">
        <is>
          <t>Fan body thickness</t>
        </is>
      </c>
      <c r="C74" s="9" t="n"/>
      <c r="D74" s="9" t="n">
        <v>10</v>
      </c>
      <c r="E74" s="9" t="inlineStr">
        <is>
          <t>mm</t>
        </is>
      </c>
      <c r="F74" s="8" t="n"/>
      <c r="G74" s="10" t="n"/>
      <c r="H74" s="9">
        <f>IF(NOT(ISNUMBER(D74)),"",IF(ISNUMBER(G74),G74-D74,IF(ISNUMBER(F74),F74-D74,"")))</f>
        <v/>
      </c>
      <c r="I74" s="9" t="n">
        <v>1</v>
      </c>
      <c r="J74" s="11">
        <f>IF(OR(H74="",I74=""),"",IF(ABS(H74)&gt;I74,IF(ISNUMBER(G74),"UPDATE","UPDATE (spec)"),"ok"))</f>
        <v/>
      </c>
      <c r="K74" s="5" t="inlineStr">
        <is>
          <t>fan_body() is 10 thick; with screen and bosses it stands 14 proud of the right wall inside side_air (25). A 20 mm fan clashes with the pan sweep.</t>
        </is>
      </c>
    </row>
    <row r="75">
      <c r="A75" s="9" t="inlineStr">
        <is>
          <t>Fans</t>
        </is>
      </c>
      <c r="B75" s="5" t="inlineStr">
        <is>
          <t>Fan cable length</t>
        </is>
      </c>
      <c r="C75" s="9" t="n"/>
      <c r="D75" s="9" t="n"/>
      <c r="E75" s="9" t="inlineStr">
        <is>
          <t>mm</t>
        </is>
      </c>
      <c r="F75" s="8" t="n"/>
      <c r="G75" s="10" t="n"/>
      <c r="H75" s="9">
        <f>IF(NOT(ISNUMBER(D75)),"",IF(ISNUMBER(G75),G75-D75,IF(ISNUMBER(F75),F75-D75,"")))</f>
        <v/>
      </c>
      <c r="I75" s="9" t="n">
        <v>20</v>
      </c>
      <c r="J75" s="11">
        <f>IF(OR(H75="",I75=""),"",IF(ABS(H75)&gt;I75,IF(ISNUMBER(G75),"UPDATE","UPDATE (spec)"),"ok"))</f>
        <v/>
      </c>
      <c r="K75" s="5" t="inlineStr">
        <is>
          <t>Fan to the Pi header (PWM, tach) and to the splice for 21 V.</t>
        </is>
      </c>
    </row>
    <row r="76">
      <c r="A76" s="9" t="inlineStr">
        <is>
          <t>Fans</t>
        </is>
      </c>
      <c r="B76" s="5" t="inlineStr">
        <is>
          <t>Rated voltage</t>
        </is>
      </c>
      <c r="C76" s="9" t="n"/>
      <c r="D76" s="9" t="n">
        <v>24</v>
      </c>
      <c r="E76" s="9" t="inlineStr">
        <is>
          <t>V</t>
        </is>
      </c>
      <c r="F76" s="8" t="n"/>
      <c r="G76" s="10" t="n"/>
      <c r="H76" s="9">
        <f>IF(NOT(ISNUMBER(D76)),"",IF(ISNUMBER(G76),G76-D76,IF(ISNUMBER(F76),F76-D76,"")))</f>
        <v/>
      </c>
      <c r="I76" s="9" t="n">
        <v>0</v>
      </c>
      <c r="J76" s="11">
        <f>IF(OR(H76="",I76=""),"",IF(ABS(H76)&gt;I76,IF(ISNUMBER(G76),"UPDATE","UPDATE (spec)"),"ok"))</f>
        <v/>
      </c>
      <c r="K76" s="5" t="inlineStr">
        <is>
          <t>Must be 24 V parts on the 21 V rail; a 12 V fan burns. Check the datasheet's minimum voltage too.</t>
        </is>
      </c>
    </row>
    <row r="77">
      <c r="A77" s="9" t="inlineStr">
        <is>
          <t>Consumables</t>
        </is>
      </c>
      <c r="B77" s="5" t="inlineStr">
        <is>
          <t>Speaker zip cord, width x thickness</t>
        </is>
      </c>
      <c r="C77" s="9" t="inlineStr">
        <is>
          <t>spk_d</t>
        </is>
      </c>
      <c r="D77" s="9" t="n">
        <v>12</v>
      </c>
      <c r="E77" s="9" t="inlineStr">
        <is>
          <t>mm</t>
        </is>
      </c>
      <c r="F77" s="8" t="n"/>
      <c r="G77" s="10" t="n"/>
      <c r="H77" s="9">
        <f>IF(NOT(ISNUMBER(D77)),"",IF(ISNUMBER(G77),G77-D77,IF(ISNUMBER(F77),F77-D77,"")))</f>
        <v/>
      </c>
      <c r="I77" s="9" t="n">
        <v>1</v>
      </c>
      <c r="J77" s="11">
        <f>IF(OR(H77="",I77=""),"",IF(ABS(H77)&gt;I77,IF(ISNUMBER(G77),"UPDATE","UPDATE (spec)"),"ok"))</f>
        <v/>
      </c>
      <c r="K77" s="5" t="inlineStr">
        <is>
          <t>Bore is 12 for two runs of 16 AWG figure-8 side by side. Type W x T.</t>
        </is>
      </c>
    </row>
    <row r="78">
      <c r="A78" s="9" t="inlineStr">
        <is>
          <t>Consumables</t>
        </is>
      </c>
      <c r="B78" s="5" t="inlineStr">
        <is>
          <t>Tent stake diameter</t>
        </is>
      </c>
      <c r="C78" s="9" t="inlineStr">
        <is>
          <t>stake_d</t>
        </is>
      </c>
      <c r="D78" s="9" t="n">
        <v>9</v>
      </c>
      <c r="E78" s="9" t="inlineStr">
        <is>
          <t>mm</t>
        </is>
      </c>
      <c r="F78" s="8" t="n"/>
      <c r="G78" s="10" t="n"/>
      <c r="H78" s="9">
        <f>IF(NOT(ISNUMBER(D78)),"",IF(ISNUMBER(G78),G78-D78,IF(ISNUMBER(F78),F78-D78,"")))</f>
        <v/>
      </c>
      <c r="I78" s="9" t="n">
        <v>0.5</v>
      </c>
      <c r="J78" s="11">
        <f>IF(OR(H78="",I78=""),"",IF(ABS(H78)&gt;I78,IF(ISNUMBER(G78),"UPDATE","UPDATE (spec)"),"ok"))</f>
        <v/>
      </c>
      <c r="K78" s="5" t="inlineStr">
        <is>
          <t>Bore for 8 mm stakes or 1/4 in pins.</t>
        </is>
      </c>
    </row>
    <row r="79">
      <c r="A79" s="9" t="inlineStr">
        <is>
          <t>Consumables</t>
        </is>
      </c>
      <c r="B79" s="5" t="inlineStr">
        <is>
          <t>Insect screen mesh thickness</t>
        </is>
      </c>
      <c r="C79" s="9" t="inlineStr">
        <is>
          <t>cap_h</t>
        </is>
      </c>
      <c r="D79" s="9" t="n">
        <v>3</v>
      </c>
      <c r="E79" s="9" t="inlineStr">
        <is>
          <t>mm</t>
        </is>
      </c>
      <c r="F79" s="8" t="n"/>
      <c r="G79" s="10" t="n"/>
      <c r="H79" s="9">
        <f>IF(NOT(ISNUMBER(D79)),"",IF(ISNUMBER(G79),G79-D79,IF(ISNUMBER(F79),F79-D79,"")))</f>
        <v/>
      </c>
      <c r="I79" s="9" t="n">
        <v>0.5</v>
      </c>
      <c r="J79" s="11">
        <f>IF(OR(H79="",I79=""),"",IF(ABS(H79)&gt;I79,IF(ISNUMBER(G79),"UPDATE","UPDATE (spec)"),"ok"))</f>
        <v/>
      </c>
      <c r="K79" s="5" t="inlineStr">
        <is>
          <t>Screen caps stand 3 off the wall and the mesh glues inside; a stiff mesh needs the gap.</t>
        </is>
      </c>
    </row>
    <row r="80">
      <c r="A80" s="9" t="inlineStr">
        <is>
          <t>Consumables</t>
        </is>
      </c>
      <c r="B80" s="5" t="inlineStr">
        <is>
          <t>Lid gasket foam tape thickness</t>
        </is>
      </c>
      <c r="C80" s="9" t="inlineStr">
        <is>
          <t>gasket</t>
        </is>
      </c>
      <c r="D80" s="9" t="n">
        <v>2</v>
      </c>
      <c r="E80" s="9" t="inlineStr">
        <is>
          <t>mm</t>
        </is>
      </c>
      <c r="F80" s="8" t="n"/>
      <c r="G80" s="10" t="n"/>
      <c r="H80" s="9">
        <f>IF(NOT(ISNUMBER(D80)),"",IF(ISNUMBER(G80),G80-D80,IF(ISNUMBER(F80),F80-D80,"")))</f>
        <v/>
      </c>
      <c r="I80" s="9" t="n">
        <v>0.5</v>
      </c>
      <c r="J80" s="11">
        <f>IF(OR(H80="",I80=""),"",IF(ABS(H80)&gt;I80,IF(ISNUMBER(G80),"UPDATE","UPDATE (spec)"),"ok"))</f>
        <v/>
      </c>
      <c r="K80" s="5" t="inlineStr">
        <is>
          <t>Lid bosses stop 1 mm short so the tape compresses.</t>
        </is>
      </c>
    </row>
    <row r="81">
      <c r="A81" s="9" t="inlineStr">
        <is>
          <t>Consumables</t>
        </is>
      </c>
      <c r="B81" s="5" t="inlineStr">
        <is>
          <t>Lid gasket foam tape width</t>
        </is>
      </c>
      <c r="C81" s="9" t="n"/>
      <c r="D81" s="9" t="n"/>
      <c r="E81" s="9" t="inlineStr">
        <is>
          <t>mm</t>
        </is>
      </c>
      <c r="F81" s="8" t="n"/>
      <c r="G81" s="10" t="n"/>
      <c r="H81" s="9">
        <f>IF(NOT(ISNUMBER(D81)),"",IF(ISNUMBER(G81),G81-D81,IF(ISNUMBER(F81),F81-D81,"")))</f>
        <v/>
      </c>
      <c r="I81" s="9" t="n">
        <v>1</v>
      </c>
      <c r="J81" s="11">
        <f>IF(OR(H81="",I81=""),"",IF(ABS(H81)&gt;I81,IF(ISNUMBER(G81),"UPDATE","UPDATE (spec)"),"ok"))</f>
        <v/>
      </c>
      <c r="K81" s="5" t="inlineStr">
        <is>
          <t>Must fit the lid's flat gasket land; wider tape bunches at the corners.</t>
        </is>
      </c>
    </row>
    <row r="82">
      <c r="A82" s="9" t="inlineStr">
        <is>
          <t>Consumables</t>
        </is>
      </c>
      <c r="B82" s="5" t="inlineStr">
        <is>
          <t>Hatch cover foam tape thickness</t>
        </is>
      </c>
      <c r="C82" s="9" t="inlineStr">
        <is>
          <t>cover_gasket</t>
        </is>
      </c>
      <c r="D82" s="9" t="n">
        <v>1.5</v>
      </c>
      <c r="E82" s="9" t="inlineStr">
        <is>
          <t>mm</t>
        </is>
      </c>
      <c r="F82" s="8" t="n"/>
      <c r="G82" s="10" t="n"/>
      <c r="H82" s="9">
        <f>IF(NOT(ISNUMBER(D82)),"",IF(ISNUMBER(G82),G82-D82,IF(ISNUMBER(F82),F82-D82,"")))</f>
        <v/>
      </c>
      <c r="I82" s="9" t="n">
        <v>0.3</v>
      </c>
      <c r="J82" s="11">
        <f>IF(OR(H82="",I82=""),"",IF(ABS(H82)&gt;I82,IF(ISNUMBER(G82),"UPDATE","UPDATE (spec)"),"ok"))</f>
        <v/>
      </c>
      <c r="K82" s="5" t="inlineStr"/>
    </row>
    <row r="83">
      <c r="A83" s="9" t="inlineStr">
        <is>
          <t>Consumables</t>
        </is>
      </c>
      <c r="B83" s="5" t="inlineStr">
        <is>
          <t>Cord grip panel hole</t>
        </is>
      </c>
      <c r="C83" s="9" t="inlineStr">
        <is>
          <t>gland_d</t>
        </is>
      </c>
      <c r="D83" s="9" t="n">
        <v>15.5</v>
      </c>
      <c r="E83" s="9" t="inlineStr">
        <is>
          <t>mm</t>
        </is>
      </c>
      <c r="F83" s="8" t="n"/>
      <c r="G83" s="10" t="n"/>
      <c r="H83" s="9">
        <f>IF(NOT(ISNUMBER(D83)),"",IF(ISNUMBER(G83),G83-D83,IF(ISNUMBER(F83),F83-D83,"")))</f>
        <v/>
      </c>
      <c r="I83" s="9" t="n">
        <v>0.2</v>
      </c>
      <c r="J83" s="11">
        <f>IF(OR(H83="",I83=""),"",IF(ABS(H83)&gt;I83,IF(ISNUMBER(G83),"UPDATE","UPDATE (spec)"),"ok"))</f>
        <v/>
      </c>
      <c r="K83" s="5" t="inlineStr">
        <is>
          <t>PG9 is 15.2 nominal; take it from the grip's datasheet.</t>
        </is>
      </c>
    </row>
    <row r="84">
      <c r="A84" s="9" t="inlineStr">
        <is>
          <t>PIR</t>
        </is>
      </c>
      <c r="B84" s="5" t="inlineStr">
        <is>
          <t>Dome diameter</t>
        </is>
      </c>
      <c r="C84" s="9" t="inlineStr">
        <is>
          <t>pir_dome_d</t>
        </is>
      </c>
      <c r="D84" s="9" t="n">
        <v>23.5</v>
      </c>
      <c r="E84" s="9" t="inlineStr">
        <is>
          <t>mm</t>
        </is>
      </c>
      <c r="F84" s="8" t="n"/>
      <c r="G84" s="10" t="n"/>
      <c r="H84" s="9">
        <f>IF(NOT(ISNUMBER(D84)),"",IF(ISNUMBER(G84),G84-D84,IF(ISNUMBER(F84),F84-D84,"")))</f>
        <v/>
      </c>
      <c r="I84" s="9" t="n">
        <v>0.5</v>
      </c>
      <c r="J84" s="11">
        <f>IF(OR(H84="",I84=""),"",IF(ABS(H84)&gt;I84,IF(ISNUMBER(G84),"UPDATE","UPDATE (spec)"),"ok"))</f>
        <v/>
      </c>
      <c r="K84" s="5" t="inlineStr"/>
    </row>
    <row r="85">
      <c r="A85" s="9" t="inlineStr">
        <is>
          <t>PIR</t>
        </is>
      </c>
      <c r="B85" s="5" t="inlineStr">
        <is>
          <t>Mounting hole spacing</t>
        </is>
      </c>
      <c r="C85" s="9" t="inlineStr">
        <is>
          <t>pir_hole_sp</t>
        </is>
      </c>
      <c r="D85" s="9" t="n">
        <v>28.7</v>
      </c>
      <c r="E85" s="9" t="inlineStr">
        <is>
          <t>mm</t>
        </is>
      </c>
      <c r="F85" s="8" t="n"/>
      <c r="G85" s="10" t="n"/>
      <c r="H85" s="9">
        <f>IF(NOT(ISNUMBER(D85)),"",IF(ISNUMBER(G85),G85-D85,IF(ISNUMBER(F85),F85-D85,"")))</f>
        <v/>
      </c>
      <c r="I85" s="9" t="n">
        <v>0.3</v>
      </c>
      <c r="J85" s="11">
        <f>IF(OR(H85="",I85=""),"",IF(ABS(H85)&gt;I85,IF(ISNUMBER(G85),"UPDATE","UPDATE (spec)"),"ok"))</f>
        <v/>
      </c>
      <c r="K85" s="5" t="inlineStr">
        <is>
          <t>Centre to centre.</t>
        </is>
      </c>
    </row>
    <row r="86">
      <c r="A86" s="9" t="inlineStr">
        <is>
          <t>PIR</t>
        </is>
      </c>
      <c r="B86" s="5" t="inlineStr">
        <is>
          <t>Lens frame thickness</t>
        </is>
      </c>
      <c r="C86" s="9" t="inlineStr">
        <is>
          <t>pir_stand</t>
        </is>
      </c>
      <c r="D86" s="9" t="n">
        <v>3</v>
      </c>
      <c r="E86" s="9" t="inlineStr">
        <is>
          <t>mm</t>
        </is>
      </c>
      <c r="F86" s="8" t="n"/>
      <c r="G86" s="10" t="n"/>
      <c r="H86" s="9">
        <f>IF(NOT(ISNUMBER(D86)),"",IF(ISNUMBER(G86),G86-D86,IF(ISNUMBER(F86),F86-D86,"")))</f>
        <v/>
      </c>
      <c r="I86" s="9" t="n">
        <v>0.5</v>
      </c>
      <c r="J86" s="11">
        <f>IF(OR(H86="",I86=""),"",IF(ABS(H86)&gt;I86,IF(ISNUMBER(G86),"UPDATE","UPDATE (spec)"),"ok"))</f>
        <v/>
      </c>
      <c r="K86" s="5" t="inlineStr">
        <is>
          <t>Board face to dome base.</t>
        </is>
      </c>
    </row>
    <row r="87">
      <c r="A87" s="9" t="inlineStr">
        <is>
          <t>Window</t>
        </is>
      </c>
      <c r="B87" s="5" t="inlineStr">
        <is>
          <t>Pane width</t>
        </is>
      </c>
      <c r="C87" s="9" t="inlineStr">
        <is>
          <t>pane_w</t>
        </is>
      </c>
      <c r="D87" s="9" t="n">
        <v>127</v>
      </c>
      <c r="E87" s="9" t="inlineStr">
        <is>
          <t>mm</t>
        </is>
      </c>
      <c r="F87" s="8" t="n"/>
      <c r="G87" s="10" t="n"/>
      <c r="H87" s="9">
        <f>IF(NOT(ISNUMBER(D87)),"",IF(ISNUMBER(G87),G87-D87,IF(ISNUMBER(F87),F87-D87,"")))</f>
        <v/>
      </c>
      <c r="I87" s="9" t="n">
        <v>0.5</v>
      </c>
      <c r="J87" s="11">
        <f>IF(OR(H87="",I87=""),"",IF(ABS(H87)&gt;I87,IF(ISNUMBER(G87),"UPDATE","UPDATE (spec)"),"ok"))</f>
        <v/>
      </c>
      <c r="K87" s="5" t="inlineStr">
        <is>
          <t>4 x 5 in stock pane.</t>
        </is>
      </c>
    </row>
    <row r="88">
      <c r="A88" s="9" t="inlineStr">
        <is>
          <t>Window</t>
        </is>
      </c>
      <c r="B88" s="5" t="inlineStr">
        <is>
          <t>Pane height</t>
        </is>
      </c>
      <c r="C88" s="9" t="inlineStr">
        <is>
          <t>pane_h</t>
        </is>
      </c>
      <c r="D88" s="9" t="n">
        <v>101.6</v>
      </c>
      <c r="E88" s="9" t="inlineStr">
        <is>
          <t>mm</t>
        </is>
      </c>
      <c r="F88" s="8" t="n"/>
      <c r="G88" s="10" t="n"/>
      <c r="H88" s="9">
        <f>IF(NOT(ISNUMBER(D88)),"",IF(ISNUMBER(G88),G88-D88,IF(ISNUMBER(F88),F88-D88,"")))</f>
        <v/>
      </c>
      <c r="I88" s="9" t="n">
        <v>0.5</v>
      </c>
      <c r="J88" s="11">
        <f>IF(OR(H88="",I88=""),"",IF(ABS(H88)&gt;I88,IF(ISNUMBER(G88),"UPDATE","UPDATE (spec)"),"ok"))</f>
        <v/>
      </c>
      <c r="K88" s="5" t="inlineStr"/>
    </row>
    <row r="89">
      <c r="A89" s="9" t="inlineStr">
        <is>
          <t>Window</t>
        </is>
      </c>
      <c r="B89" s="5" t="inlineStr">
        <is>
          <t>Pane thickness</t>
        </is>
      </c>
      <c r="C89" s="9" t="inlineStr">
        <is>
          <t>pane_t</t>
        </is>
      </c>
      <c r="D89" s="9" t="n">
        <v>3.2</v>
      </c>
      <c r="E89" s="9" t="inlineStr">
        <is>
          <t>mm</t>
        </is>
      </c>
      <c r="F89" s="8" t="n"/>
      <c r="G89" s="10" t="n"/>
      <c r="H89" s="9">
        <f>IF(NOT(ISNUMBER(D89)),"",IF(ISNUMBER(G89),G89-D89,IF(ISNUMBER(F89),F89-D89,"")))</f>
        <v/>
      </c>
      <c r="I89" s="9" t="n">
        <v>0.2</v>
      </c>
      <c r="J89" s="11">
        <f>IF(OR(H89="",I89=""),"",IF(ABS(H89)&gt;I89,IF(ISNUMBER(G89),"UPDATE","UPDATE (spec)"),"ok"))</f>
        <v/>
      </c>
      <c r="K89" s="5" t="inlineStr">
        <is>
          <t>Photo-frame glazing is often thinner.</t>
        </is>
      </c>
    </row>
    <row r="90">
      <c r="A90" s="9" t="inlineStr">
        <is>
          <t>Inserts</t>
        </is>
      </c>
      <c r="B90" s="5" t="inlineStr">
        <is>
          <t>3/8-16 heat-set insert hole</t>
        </is>
      </c>
      <c r="C90" s="9" t="inlineStr">
        <is>
          <t>insert38_d</t>
        </is>
      </c>
      <c r="D90" s="9" t="n">
        <v>12.1</v>
      </c>
      <c r="E90" s="9" t="inlineStr">
        <is>
          <t>mm</t>
        </is>
      </c>
      <c r="F90" s="8" t="n"/>
      <c r="G90" s="10" t="n"/>
      <c r="H90" s="9">
        <f>IF(NOT(ISNUMBER(D90)),"",IF(ISNUMBER(G90),G90-D90,IF(ISNUMBER(F90),F90-D90,"")))</f>
        <v/>
      </c>
      <c r="I90" s="9" t="n">
        <v>0.1</v>
      </c>
      <c r="J90" s="11">
        <f>IF(OR(H90="",I90=""),"",IF(ABS(H90)&gt;I90,IF(ISNUMBER(G90),"UPDATE","UPDATE (spec)"),"ok"))</f>
        <v/>
      </c>
      <c r="K90" s="5" t="inlineStr">
        <is>
          <t>From the insert datasheet, then confirm on the fit coupon.</t>
        </is>
      </c>
    </row>
    <row r="91">
      <c r="A91" s="9" t="inlineStr">
        <is>
          <t>Inserts</t>
        </is>
      </c>
      <c r="B91" s="5" t="inlineStr">
        <is>
          <t>1/4-20 heat-set insert hole</t>
        </is>
      </c>
      <c r="C91" s="9" t="inlineStr">
        <is>
          <t>insert_d</t>
        </is>
      </c>
      <c r="D91" s="9" t="n">
        <v>8.199999999999999</v>
      </c>
      <c r="E91" s="9" t="inlineStr">
        <is>
          <t>mm</t>
        </is>
      </c>
      <c r="F91" s="8" t="n"/>
      <c r="G91" s="10" t="n"/>
      <c r="H91" s="9">
        <f>IF(NOT(ISNUMBER(D91)),"",IF(ISNUMBER(G91),G91-D91,IF(ISNUMBER(F91),F91-D91,"")))</f>
        <v/>
      </c>
      <c r="I91" s="9" t="n">
        <v>0.1</v>
      </c>
      <c r="J91" s="11">
        <f>IF(OR(H91="",I91=""),"",IF(ABS(H91)&gt;I91,IF(ISNUMBER(G91),"UPDATE","UPDATE (spec)"),"ok"))</f>
        <v/>
      </c>
      <c r="K91" s="5" t="inlineStr"/>
    </row>
    <row r="92">
      <c r="A92" s="9" t="inlineStr">
        <is>
          <t>Inserts</t>
        </is>
      </c>
      <c r="B92" s="5" t="inlineStr">
        <is>
          <t>M4 heat-set insert hole</t>
        </is>
      </c>
      <c r="C92" s="9" t="inlineStr">
        <is>
          <t>m4_insert_d</t>
        </is>
      </c>
      <c r="D92" s="9" t="n">
        <v>5.6</v>
      </c>
      <c r="E92" s="9" t="inlineStr">
        <is>
          <t>mm</t>
        </is>
      </c>
      <c r="F92" s="8" t="n"/>
      <c r="G92" s="10" t="n"/>
      <c r="H92" s="9">
        <f>IF(NOT(ISNUMBER(D92)),"",IF(ISNUMBER(G92),G92-D92,IF(ISNUMBER(F92),F92-D92,"")))</f>
        <v/>
      </c>
      <c r="I92" s="9" t="n">
        <v>0.1</v>
      </c>
      <c r="J92" s="11">
        <f>IF(OR(H92="",I92=""),"",IF(ABS(H92)&gt;I92,IF(ISNUMBER(G92),"UPDATE","UPDATE (spec)"),"ok"))</f>
        <v/>
      </c>
      <c r="K92" s="5" t="inlineStr"/>
    </row>
    <row r="93">
      <c r="A93" s="9" t="inlineStr">
        <is>
          <t>Inserts</t>
        </is>
      </c>
      <c r="B93" s="5" t="inlineStr">
        <is>
          <t>M3 heat-set insert hole</t>
        </is>
      </c>
      <c r="C93" s="9" t="inlineStr">
        <is>
          <t>m3_insert_d</t>
        </is>
      </c>
      <c r="D93" s="9" t="n">
        <v>4</v>
      </c>
      <c r="E93" s="9" t="inlineStr">
        <is>
          <t>mm</t>
        </is>
      </c>
      <c r="F93" s="8" t="n"/>
      <c r="G93" s="10" t="n"/>
      <c r="H93" s="9">
        <f>IF(NOT(ISNUMBER(D93)),"",IF(ISNUMBER(G93),G93-D93,IF(ISNUMBER(F93),F93-D93,"")))</f>
        <v/>
      </c>
      <c r="I93" s="9" t="n">
        <v>0.1</v>
      </c>
      <c r="J93" s="11">
        <f>IF(OR(H93="",I93=""),"",IF(ABS(H93)&gt;I93,IF(ISNUMBER(G93),"UPDATE","UPDATE (spec)"),"ok"))</f>
        <v/>
      </c>
      <c r="K93" s="5" t="inlineStr"/>
    </row>
    <row r="94">
      <c r="A94" s="9" t="inlineStr">
        <is>
          <t>Fit coupon</t>
        </is>
      </c>
      <c r="B94" s="5" t="inlineStr">
        <is>
          <t>General fit clearance</t>
        </is>
      </c>
      <c r="C94" s="9" t="inlineStr">
        <is>
          <t>clearance</t>
        </is>
      </c>
      <c r="D94" s="9" t="n">
        <v>0.3</v>
      </c>
      <c r="E94" s="9" t="inlineStr">
        <is>
          <t>mm</t>
        </is>
      </c>
      <c r="F94" s="8" t="n"/>
      <c r="G94" s="10" t="n"/>
      <c r="H94" s="9">
        <f>IF(NOT(ISNUMBER(D94)),"",IF(ISNUMBER(G94),G94-D94,IF(ISNUMBER(F94),F94-D94,"")))</f>
        <v/>
      </c>
      <c r="I94" s="9" t="n">
        <v>0.05</v>
      </c>
      <c r="J94" s="11">
        <f>IF(OR(H94="",I94=""),"",IF(ABS(H94)&gt;I94,IF(ISNUMBER(G94),"UPDATE","UPDATE (spec)"),"ok"))</f>
        <v/>
      </c>
      <c r="K94" s="5" t="inlineStr">
        <is>
          <t>Adjust after the coupon: keyhole, pane slot, screw pilots.</t>
        </is>
      </c>
    </row>
    <row r="95">
      <c r="A95" s="9" t="inlineStr">
        <is>
          <t>Site</t>
        </is>
      </c>
      <c r="B95" s="5" t="inlineStr">
        <is>
          <t>Distance from the case position to the projection surface</t>
        </is>
      </c>
      <c r="C95" s="9" t="n"/>
      <c r="D95" s="9" t="n"/>
      <c r="E95" s="9" t="inlineStr">
        <is>
          <t>mm</t>
        </is>
      </c>
      <c r="F95" s="8" t="n"/>
      <c r="G95" s="10" t="n"/>
      <c r="H95" s="9">
        <f>IF(NOT(ISNUMBER(D95)),"",IF(ISNUMBER(G95),G95-D95,IF(ISNUMBER(F95),F95-D95,"")))</f>
        <v/>
      </c>
      <c r="I95" s="9" t="n"/>
      <c r="J95" s="11">
        <f>IF(OR(H95="",I95=""),"",IF(ABS(H95)&gt;I95,IF(ISNUMBER(G95),"UPDATE","UPDATE (spec)"),"ok"))</f>
        <v/>
      </c>
      <c r="K95" s="5" t="inlineStr">
        <is>
          <t>Lens face to the surface, straight on, case where it will stand.</t>
        </is>
      </c>
    </row>
    <row r="96">
      <c r="A96" s="9" t="inlineStr">
        <is>
          <t>Site</t>
        </is>
      </c>
      <c r="B96" s="5" t="inlineStr">
        <is>
          <t>Projection surface: bottom edge height above ground</t>
        </is>
      </c>
      <c r="C96" s="9" t="n"/>
      <c r="D96" s="9" t="n"/>
      <c r="E96" s="9" t="inlineStr">
        <is>
          <t>mm</t>
        </is>
      </c>
      <c r="F96" s="8" t="n"/>
      <c r="G96" s="10" t="n"/>
      <c r="H96" s="9">
        <f>IF(NOT(ISNUMBER(D96)),"",IF(ISNUMBER(G96),G96-D96,IF(ISNUMBER(F96),F96-D96,"")))</f>
        <v/>
      </c>
      <c r="I96" s="9" t="n"/>
      <c r="J96" s="11">
        <f>IF(OR(H96="",I96=""),"",IF(ABS(H96)&gt;I96,IF(ISNUMBER(G96),"UPDATE","UPDATE (spec)"),"ok"))</f>
        <v/>
      </c>
      <c r="K96" s="5" t="inlineStr"/>
    </row>
    <row r="97">
      <c r="A97" s="9" t="inlineStr">
        <is>
          <t>Site</t>
        </is>
      </c>
      <c r="B97" s="5" t="inlineStr">
        <is>
          <t>Projection surface: top edge height above ground</t>
        </is>
      </c>
      <c r="C97" s="9" t="n"/>
      <c r="D97" s="9" t="n"/>
      <c r="E97" s="9" t="inlineStr">
        <is>
          <t>mm</t>
        </is>
      </c>
      <c r="F97" s="8" t="n"/>
      <c r="G97" s="10" t="n"/>
      <c r="H97" s="9">
        <f>IF(NOT(ISNUMBER(D97)),"",IF(ISNUMBER(G97),G97-D97,IF(ISNUMBER(F97),F97-D97,"")))</f>
        <v/>
      </c>
      <c r="I97" s="9" t="n"/>
      <c r="J97" s="11">
        <f>IF(OR(H97="",I97=""),"",IF(ABS(H97)&gt;I97,IF(ISNUMBER(G97),"UPDATE","UPDATE (spec)"),"ok"))</f>
        <v/>
      </c>
      <c r="K97" s="5" t="inlineStr"/>
    </row>
    <row r="98">
      <c r="A98" s="9" t="inlineStr">
        <is>
          <t>Site</t>
        </is>
      </c>
      <c r="B98" s="5" t="inlineStr">
        <is>
          <t>Projection surface width</t>
        </is>
      </c>
      <c r="C98" s="9" t="n"/>
      <c r="D98" s="9" t="n"/>
      <c r="E98" s="9" t="inlineStr">
        <is>
          <t>mm</t>
        </is>
      </c>
      <c r="F98" s="8" t="n"/>
      <c r="G98" s="10" t="n"/>
      <c r="H98" s="9">
        <f>IF(NOT(ISNUMBER(D98)),"",IF(ISNUMBER(G98),G98-D98,IF(ISNUMBER(F98),F98-D98,"")))</f>
        <v/>
      </c>
      <c r="I98" s="9" t="n"/>
      <c r="J98" s="11">
        <f>IF(OR(H98="",I98=""),"",IF(ABS(H98)&gt;I98,IF(ISNUMBER(G98),"UPDATE","UPDATE (spec)"),"ok"))</f>
        <v/>
      </c>
      <c r="K98" s="5" t="inlineStr">
        <is>
          <t>Compare with the computed image width below.</t>
        </is>
      </c>
    </row>
    <row r="99">
      <c r="A99" s="9" t="inlineStr">
        <is>
          <t>Site</t>
        </is>
      </c>
      <c r="B99" s="5" t="inlineStr">
        <is>
          <t>Lens height above ground, case on its feet</t>
        </is>
      </c>
      <c r="C99" s="9" t="inlineStr">
        <is>
          <t>(z_lens)</t>
        </is>
      </c>
      <c r="D99" s="9" t="n">
        <v>115</v>
      </c>
      <c r="E99" s="9" t="inlineStr">
        <is>
          <t>mm</t>
        </is>
      </c>
      <c r="F99" s="8" t="n"/>
      <c r="G99" s="10" t="n"/>
      <c r="H99" s="9">
        <f>IF(NOT(ISNUMBER(D99)),"",IF(ISNUMBER(G99),G99-D99,IF(ISNUMBER(F99),F99-D99,"")))</f>
        <v/>
      </c>
      <c r="I99" s="9" t="n">
        <v>5</v>
      </c>
      <c r="J99" s="11">
        <f>IF(OR(H99="",I99=""),"",IF(ABS(H99)&gt;I99,IF(ISNUMBER(G99),"UPDATE","UPDATE (spec)"),"ok"))</f>
        <v/>
      </c>
      <c r="K99" s="5" t="inlineStr">
        <is>
          <t>From the model: feet 6 + floor 6 + pedestal 30 + ball head 40 + lens_z 33. Measure it once assembled.</t>
        </is>
      </c>
    </row>
    <row r="100">
      <c r="A100" s="9" t="inlineStr">
        <is>
          <t>Site</t>
        </is>
      </c>
      <c r="B100" s="5" t="inlineStr">
        <is>
          <t>Image width at that distance</t>
        </is>
      </c>
      <c r="C100" s="9" t="n"/>
      <c r="D100" s="9" t="n"/>
      <c r="E100" s="9" t="inlineStr">
        <is>
          <t>mm</t>
        </is>
      </c>
      <c r="F100" s="8" t="n"/>
      <c r="G100" s="11">
        <f>IF(ISNUMBER(G95),ROUND(G95/IF(ISNUMBER(G38),G38,D38),0),"")</f>
        <v/>
      </c>
      <c r="H100" s="9">
        <f>IF(NOT(ISNUMBER(D100)),"",IF(ISNUMBER(G100),G100-D100,IF(ISNUMBER(F100),F100-D100,"")))</f>
        <v/>
      </c>
      <c r="I100" s="9" t="n"/>
      <c r="J100" s="11">
        <f>IF(OR(H100="",I100=""),"",IF(ABS(H100)&gt;I100,IF(ISNUMBER(G100),"UPDATE","UPDATE (spec)"),"ok"))</f>
        <v/>
      </c>
      <c r="K100" s="5" t="inlineStr">
        <is>
          <t>Computed: distance / throw ratio (measured if filled, else default). Do not type here.</t>
        </is>
      </c>
    </row>
    <row r="101">
      <c r="A101" s="9" t="inlineStr">
        <is>
          <t>Site</t>
        </is>
      </c>
      <c r="B101" s="5" t="inlineStr">
        <is>
          <t>Image centre height above ground</t>
        </is>
      </c>
      <c r="C101" s="9" t="n"/>
      <c r="D101" s="9" t="n"/>
      <c r="E101" s="9" t="inlineStr">
        <is>
          <t>mm</t>
        </is>
      </c>
      <c r="F101" s="8" t="n"/>
      <c r="G101" s="11">
        <f>IF(AND(ISNUMBER(G96),ISNUMBER(G97)),(G96+G97)/2,"")</f>
        <v/>
      </c>
      <c r="H101" s="9">
        <f>IF(NOT(ISNUMBER(D101)),"",IF(ISNUMBER(G101),G101-D101,IF(ISNUMBER(F101),F101-D101,"")))</f>
        <v/>
      </c>
      <c r="I101" s="9" t="n"/>
      <c r="J101" s="11">
        <f>IF(OR(H101="",I101=""),"",IF(ABS(H101)&gt;I101,IF(ISNUMBER(G101),"UPDATE","UPDATE (spec)"),"ok"))</f>
        <v/>
      </c>
      <c r="K101" s="5" t="inlineStr">
        <is>
          <t>Computed from the two edge heights. Do not type here.</t>
        </is>
      </c>
    </row>
    <row r="102">
      <c r="A102" s="9" t="inlineStr">
        <is>
          <t>Site</t>
        </is>
      </c>
      <c r="B102" s="5" t="inlineStr">
        <is>
          <t>Tilt needed to centre the image</t>
        </is>
      </c>
      <c r="C102" s="9" t="inlineStr">
        <is>
          <t>cone_tilt</t>
        </is>
      </c>
      <c r="D102" s="9" t="n">
        <v>12</v>
      </c>
      <c r="E102" s="9" t="inlineStr">
        <is>
          <t>deg</t>
        </is>
      </c>
      <c r="F102" s="8" t="n"/>
      <c r="G102" s="11">
        <f>IF(AND(ISNUMBER(G95),ISNUMBER(G101),G95&gt;0),ROUND(DEGREES(ATAN((G101-IF(ISNUMBER(G99),G99,D99))/G95)),1),"")</f>
        <v/>
      </c>
      <c r="H102" s="9">
        <f>IF(ISNUMBER(G102),G102-D102,"")</f>
        <v/>
      </c>
      <c r="I102" s="9" t="n"/>
      <c r="J102" s="11">
        <f>IF(NOT(ISNUMBER(G102)),"",IF(OR(G102&gt;D102,G102&lt;-15),"OVER LIMIT","ok"))</f>
        <v/>
      </c>
      <c r="K102" s="5" t="inlineStr">
        <is>
          <t>Computed. Limit is cone_tilt (12) up and aim_max (15) down before the light cone clips the visor or the body hits the head. OVER LIMIT means a riser, the tripod or a longer throw. Do not type here.</t>
        </is>
      </c>
    </row>
    <row r="103">
      <c r="A103" s="9" t="inlineStr">
        <is>
          <t>Site</t>
        </is>
      </c>
      <c r="B103" s="5" t="inlineStr">
        <is>
          <t>Ground slope at the case position</t>
        </is>
      </c>
      <c r="C103" s="9" t="n"/>
      <c r="D103" s="9" t="n"/>
      <c r="E103" s="9" t="inlineStr">
        <is>
          <t>deg</t>
        </is>
      </c>
      <c r="F103" s="8" t="n"/>
      <c r="G103" s="10" t="n"/>
      <c r="H103" s="9">
        <f>IF(NOT(ISNUMBER(D103)),"",IF(ISNUMBER(G103),G103-D103,IF(ISNUMBER(F103),F103-D103,"")))</f>
        <v/>
      </c>
      <c r="I103" s="9" t="n"/>
      <c r="J103" s="11">
        <f>IF(OR(H103="",I103=""),"",IF(ABS(H103)&gt;I103,IF(ISNUMBER(G103),"UPDATE","UPDATE (spec)"),"ok"))</f>
        <v/>
      </c>
      <c r="K103" s="5" t="inlineStr">
        <is>
          <t>Adds to the tilt. Shim the feet or use the tripod.</t>
        </is>
      </c>
    </row>
    <row r="104">
      <c r="A104" s="9" t="inlineStr">
        <is>
          <t>Site</t>
        </is>
      </c>
      <c r="B104" s="5" t="inlineStr">
        <is>
          <t>Distance from the case to where visitors first appear</t>
        </is>
      </c>
      <c r="C104" s="9" t="n"/>
      <c r="D104" s="9" t="n"/>
      <c r="E104" s="9" t="inlineStr">
        <is>
          <t>m</t>
        </is>
      </c>
      <c r="F104" s="8" t="n"/>
      <c r="G104" s="10" t="n"/>
      <c r="H104" s="9">
        <f>IF(NOT(ISNUMBER(D104)),"",IF(ISNUMBER(G104),G104-D104,IF(ISNUMBER(F104),F104-D104,"")))</f>
        <v/>
      </c>
      <c r="I104" s="9" t="n"/>
      <c r="J104" s="11">
        <f>IF(OR(H104="",I104=""),"",IF(ABS(H104)&gt;I104,IF(ISNUMBER(G104),"UPDATE","UPDATE (spec)"),"ok"))</f>
        <v/>
      </c>
      <c r="K104" s="5" t="inlineStr">
        <is>
          <t>HC-SR501 range is about 7 m. Sets the PIR sensitivity and whether the rear wall is the right face for it.</t>
        </is>
      </c>
    </row>
    <row r="105">
      <c r="A105" s="9" t="inlineStr">
        <is>
          <t>Site</t>
        </is>
      </c>
      <c r="B105" s="5" t="inlineStr">
        <is>
          <t>Distance from the case to the GFCI outlet</t>
        </is>
      </c>
      <c r="C105" s="9" t="n"/>
      <c r="D105" s="9" t="n"/>
      <c r="E105" s="9" t="inlineStr">
        <is>
          <t>m</t>
        </is>
      </c>
      <c r="F105" s="8" t="n"/>
      <c r="G105" s="10" t="n"/>
      <c r="H105" s="9">
        <f>IF(NOT(ISNUMBER(D105)),"",IF(ISNUMBER(G105),G105-D105,IF(ISNUMBER(F105),F105-D105,"")))</f>
        <v/>
      </c>
      <c r="I105" s="9" t="n"/>
      <c r="J105" s="11">
        <f>IF(OR(H105="",I105=""),"",IF(ABS(H105)&gt;I105,IF(ISNUMBER(G105),"UPDATE","UPDATE (spec)"),"ok"))</f>
        <v/>
      </c>
      <c r="K105" s="5" t="inlineStr">
        <is>
          <t>One AC cord, under a cord cover across any path. Sets its length.</t>
        </is>
      </c>
    </row>
    <row r="106">
      <c r="A106" s="9" t="inlineStr">
        <is>
          <t>Assembly</t>
        </is>
      </c>
      <c r="B106" s="5" t="inlineStr">
        <is>
          <t>Centre of mass behind the footprint centre (+ = rear)</t>
        </is>
      </c>
      <c r="C106" s="9" t="inlineStr">
        <is>
          <t>tripod_y</t>
        </is>
      </c>
      <c r="D106" s="9" t="n">
        <v>5</v>
      </c>
      <c r="E106" s="9" t="inlineStr">
        <is>
          <t>mm</t>
        </is>
      </c>
      <c r="F106" s="8" t="n"/>
      <c r="G106" s="10" t="n"/>
      <c r="H106" s="9">
        <f>IF(NOT(ISNUMBER(D106)),"",IF(ISNUMBER(G106),G106-D106,IF(ISNUMBER(F106),F106-D106,"")))</f>
        <v/>
      </c>
      <c r="I106" s="9" t="n">
        <v>5</v>
      </c>
      <c r="J106" s="11">
        <f>IF(OR(H106="",I106=""),"",IF(ABS(H106)&gt;I106,IF(ISNUMBER(G106),"UPDATE","UPDATE (spec)"),"ok"))</f>
        <v/>
      </c>
      <c r="K106" s="5" t="inlineStr">
        <is>
          <t>Loaded case, lid on: balance it on a rod across the feet, mark the line, measure from the footprint centre. Move tripod_y and reprint the base rear tile only if it moves more than the tolerance.</t>
        </is>
      </c>
    </row>
    <row r="107"/>
    <row r="108">
      <c r="A108" s="6" t="inlineStr">
        <is>
          <t>Parameters to update</t>
        </is>
      </c>
      <c r="B108" s="6">
        <f>COUNTIF(J7:J106,"UPDATE*")+COUNTIF(J7:J106,"OVER LIMIT")</f>
        <v/>
      </c>
      <c r="C108" s="6" t="inlineStr">
        <is>
          <t>Rows still blank</t>
        </is>
      </c>
      <c r="D108" s="6">
        <f>COUNTBLANK(G7:G106)</f>
        <v/>
      </c>
    </row>
    <row r="109"/>
    <row r="110">
      <c r="A110" s="6" t="inlineStr">
        <is>
          <t>Legend</t>
        </is>
      </c>
    </row>
    <row r="111">
      <c r="A111" s="2" t="inlineStr">
        <is>
          <t>Yellow cell</t>
        </is>
      </c>
      <c r="B111" s="4" t="inlineStr">
        <is>
          <t>Type your measurement here.</t>
        </is>
      </c>
    </row>
    <row r="112">
      <c r="A112" s="8" t="inlineStr">
        <is>
          <t>Green value</t>
        </is>
      </c>
      <c r="B112" s="4" t="inlineStr">
        <is>
          <t>From the Tkisko TO2 manual (manuals.plus, Oct 2022), its label and product photos. Confirm with calipers.</t>
        </is>
      </c>
    </row>
    <row r="113">
      <c r="A113" s="6" t="inlineStr">
        <is>
          <t>Bold value</t>
        </is>
      </c>
      <c r="B113" s="4" t="inlineStr">
        <is>
          <t>Computed by the sheet. Leave it alone.</t>
        </is>
      </c>
    </row>
    <row r="114">
      <c r="A114" t="inlineStr">
        <is>
          <t>Defaults and tolerances</t>
        </is>
      </c>
      <c r="B114" s="4" t="inlineStr">
        <is>
          <t>Taken from projector_pi_case.scad (v0.9 draft) and docs/BRINGUP.md. The weight default (720 g) is an assumption from the design log, not a measurement. Site rows and the Assembly row are about where the case will stand, not the hardware: fill them before printing the big tiles.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
  <sheetViews>
    <sheetView tabSelected="1" workbookViewId="0">
      <pane ySplit="4" topLeftCell="A5" activePane="bottomLeft" state="frozen"/>
      <selection activeCell="A1" sqref="A1"/>
    </sheetView>
  </sheetViews>
  <sheetFormatPr baseColWidth="8" defaultRowHeight="15"/>
  <cols>
    <col width="12" customWidth="1" min="1" max="1"/>
    <col width="55" customWidth="1" min="2" max="2"/>
    <col width="36" customWidth="1" min="3" max="3"/>
    <col width="30" customWidth="1" min="4" max="4"/>
    <col width="50" customWidth="1" min="5" max="5"/>
  </cols>
  <sheetData>
    <row r="1">
      <c r="A1" s="3" t="inlineStr">
        <is>
          <t>Observations (not numbers)</t>
        </is>
      </c>
    </row>
    <row r="2">
      <c r="A2" s="4" t="inlineStr">
        <is>
          <t>Things to check that are not a single dimension. Fill in the yellow cells. Green is what the Tkisko TO2 manual (manuals.plus, Oct 2022), its label and product photos says.</t>
        </is>
      </c>
    </row>
    <row r="4">
      <c r="A4" s="7" t="inlineStr">
        <is>
          <t>Group</t>
        </is>
      </c>
      <c r="B4" s="7" t="inlineStr">
        <is>
          <t>Question</t>
        </is>
      </c>
      <c r="C4" s="7" t="inlineStr">
        <is>
          <t>Manual / label says</t>
        </is>
      </c>
      <c r="D4" s="7" t="inlineStr">
        <is>
          <t>Answer</t>
        </is>
      </c>
      <c r="E4" s="7" t="inlineStr">
        <is>
          <t>Why it matters</t>
        </is>
      </c>
    </row>
    <row r="5">
      <c r="A5" s="9" t="inlineStr">
        <is>
          <t>Projector</t>
        </is>
      </c>
      <c r="B5" s="5" t="inlineStr">
        <is>
          <t>Does it have an external DC brick with a barrel plug, or does the AC cord go straight into the body?</t>
        </is>
      </c>
      <c r="C5" s="8" t="inlineStr">
        <is>
          <t>Label: Power Input DC 21 V 3000 mA, so an external brick. Manual: 110 V, 50 W.</t>
        </is>
      </c>
      <c r="D5" s="10" t="inlineStr">
        <is>
          <t>External wall-wart with a barrel plug (MX48CC-210228US, 48 W). Fixed 2-pin prongs, captive DC cord; it plugs into a receptacle on the shelf.</t>
        </is>
      </c>
      <c r="E5" s="5" t="inlineStr">
        <is>
          <t>The power shelf, relay and DC fuse assume an external brick. A built-in supply changes the wiring plan.</t>
        </is>
      </c>
    </row>
    <row r="6">
      <c r="A6" s="9" t="inlineStr">
        <is>
          <t>Projector</t>
        </is>
      </c>
      <c r="B6" s="5" t="inlineStr">
        <is>
          <t>Which face holds the lens: the 6.5 in side or the 5 in side?</t>
        </is>
      </c>
      <c r="C6" s="8" t="inlineStr">
        <is>
          <t>Owner: the 6.5 in face (set in the model).</t>
        </is>
      </c>
      <c r="D6" s="10" t="n"/>
      <c r="E6" s="5" t="inlineStr">
        <is>
          <t>Sets proj_w vs proj_d. Lens on the long face pushes the base past the 210 mm bed axis.</t>
        </is>
      </c>
    </row>
    <row r="7">
      <c r="A7" s="9" t="inlineStr">
        <is>
          <t>Projector</t>
        </is>
      </c>
      <c r="B7" s="5" t="inlineStr">
        <is>
          <t>Where are the HDMI and power ports? (rear / left / right / top)</t>
        </is>
      </c>
      <c r="C7" s="8" t="inlineStr">
        <is>
          <t>Ports: HDMI, USB, AV, 3.5 mm audio. Location not stated.</t>
        </is>
      </c>
      <c r="D7" s="10" t="n"/>
      <c r="E7" s="5" t="inlineStr">
        <is>
          <t>Design assumes the rear face (port_band).</t>
        </is>
      </c>
    </row>
    <row r="8">
      <c r="A8" s="9" t="inlineStr">
        <is>
          <t>Projector</t>
        </is>
      </c>
      <c r="B8" s="5" t="inlineStr">
        <is>
          <t>Plug types: right-angle or straight HDMI? Barrel plug size?</t>
        </is>
      </c>
      <c r="C8" s="8" t="inlineStr">
        <is>
          <t>HDMI cable included.</t>
        </is>
      </c>
      <c r="D8" s="10" t="n"/>
      <c r="E8" s="5" t="inlineStr">
        <is>
          <t>Straight HDMI needs about 40 mm of rear_gap.</t>
        </is>
      </c>
    </row>
    <row r="9">
      <c r="A9" s="9" t="inlineStr">
        <is>
          <t>Projector</t>
        </is>
      </c>
      <c r="B9" s="5" t="inlineStr">
        <is>
          <t>Barrel plug inner pin diameter (2.1 or 2.5 mm)</t>
        </is>
      </c>
      <c r="C9" s="8" t="n"/>
      <c r="D9" s="10" t="n"/>
      <c r="E9" s="5" t="inlineStr">
        <is>
          <t>Picks the pigtail for the relay and fuse splice.</t>
        </is>
      </c>
    </row>
    <row r="10">
      <c r="A10" s="9" t="inlineStr">
        <is>
          <t>Projector</t>
        </is>
      </c>
      <c r="B10" s="5" t="inlineStr">
        <is>
          <t>Where are the air intake and exhaust vents?</t>
        </is>
      </c>
      <c r="C10" s="8" t="inlineStr">
        <is>
          <t>Sealed optical engine; fan cooling. Locations not stated.</t>
        </is>
      </c>
      <c r="D10" s="10" t="n"/>
      <c r="E10" s="5" t="inlineStr">
        <is>
          <t>Louvers and the 40 mm fan should line up with them.</t>
        </is>
      </c>
    </row>
    <row r="11">
      <c r="A11" s="9" t="inlineStr">
        <is>
          <t>Projector</t>
        </is>
      </c>
      <c r="B11" s="5" t="inlineStr">
        <is>
          <t>Which face holds the focus wheel and the keystone control?</t>
        </is>
      </c>
      <c r="C11" s="8" t="inlineStr">
        <is>
          <t>Manual focus; not stated where.</t>
        </is>
      </c>
      <c r="D11" s="10" t="n"/>
      <c r="E11" s="5" t="inlineStr">
        <is>
          <t>The aim hatch is the left wall and reaches only the lower 40 mm of the projector. Right or top means: focus with the lid off, then never touch it.</t>
        </is>
      </c>
    </row>
    <row r="12">
      <c r="A12" s="9" t="inlineStr">
        <is>
          <t>Projector</t>
        </is>
      </c>
      <c r="B12" s="5" t="inlineStr">
        <is>
          <t>Which face holds the IR receiver window?</t>
        </is>
      </c>
      <c r="C12" s="8" t="inlineStr">
        <is>
          <t>Remote included.</t>
        </is>
      </c>
      <c r="D12" s="10" t="n"/>
      <c r="E12" s="5" t="inlineStr">
        <is>
          <t>ir_holder sticks on inside the case facing it; a front-face receiver sees nothing from inside.</t>
        </is>
      </c>
    </row>
    <row r="13">
      <c r="A13" s="9" t="inlineStr">
        <is>
          <t>Projector</t>
        </is>
      </c>
      <c r="B13" s="5" t="inlineStr">
        <is>
          <t>Which face holds each vent, and which way does the fan blow?</t>
        </is>
      </c>
      <c r="C13" s="8" t="inlineStr">
        <is>
          <t>Sealed optical engine; fan cooling.</t>
        </is>
      </c>
      <c r="D13" s="10" t="n"/>
      <c r="E13" s="5" t="inlineStr">
        <is>
          <t>Intake should see the floor slots and louvers; exhaust should see the right-wall fan.</t>
        </is>
      </c>
    </row>
    <row r="14">
      <c r="A14" s="9" t="inlineStr">
        <is>
          <t>Projector</t>
        </is>
      </c>
      <c r="B14" s="5" t="inlineStr">
        <is>
          <t>Is the 1/4-20 socket metal and is it centred under the lens?</t>
        </is>
      </c>
      <c r="C14" s="8" t="inlineStr">
        <is>
          <t>Underside photo: brass insert in the right lobe, 19 mm right of centre, with a small slot beside it.</t>
        </is>
      </c>
      <c r="D14" s="10" t="n"/>
      <c r="E14" s="5" t="inlineStr">
        <is>
          <t>A plastic socket may need a plate.</t>
        </is>
      </c>
    </row>
    <row r="15">
      <c r="A15" s="9" t="inlineStr">
        <is>
          <t>Projector</t>
        </is>
      </c>
      <c r="B15" s="5" t="inlineStr">
        <is>
          <t>Does HDMI-CEC power it on and off from the Pi?</t>
        </is>
      </c>
      <c r="C15" s="8" t="inlineStr">
        <is>
          <t>Not mentioned.</t>
        </is>
      </c>
      <c r="D15" s="10" t="n"/>
      <c r="E15" s="5" t="inlineStr">
        <is>
          <t>If not, use the relay + IR fallback.</t>
        </is>
      </c>
    </row>
    <row r="16">
      <c r="A16" s="9" t="inlineStr">
        <is>
          <t>Projector</t>
        </is>
      </c>
      <c r="B16" s="5" t="inlineStr">
        <is>
          <t>IR remote power code (if the fallback is needed)</t>
        </is>
      </c>
      <c r="C16" s="8" t="inlineStr">
        <is>
          <t>Remote included.</t>
        </is>
      </c>
      <c r="D16" s="10" t="n"/>
      <c r="E16" s="5" t="inlineStr">
        <is>
          <t>Learned with the Pi.</t>
        </is>
      </c>
    </row>
    <row r="17">
      <c r="A17" s="9" t="inlineStr">
        <is>
          <t>Projector</t>
        </is>
      </c>
      <c r="B17" s="5" t="inlineStr">
        <is>
          <t>Does it keep the last input and auto-start on power?</t>
        </is>
      </c>
      <c r="C17" s="8" t="inlineStr">
        <is>
          <t>Not mentioned.</t>
        </is>
      </c>
      <c r="D17" s="10" t="n"/>
      <c r="E17" s="5" t="inlineStr">
        <is>
          <t>Needed for the relay fallback to work unattended.</t>
        </is>
      </c>
    </row>
    <row r="18">
      <c r="A18" s="9" t="inlineStr">
        <is>
          <t>Ball head</t>
        </is>
      </c>
      <c r="B18" s="5" t="inlineStr">
        <is>
          <t>Make and model</t>
        </is>
      </c>
      <c r="C18" s="8" t="n"/>
      <c r="D18" s="10" t="n"/>
      <c r="E18" s="5" t="inlineStr"/>
    </row>
    <row r="19">
      <c r="A19" s="9" t="inlineStr">
        <is>
          <t>Ball head</t>
        </is>
      </c>
      <c r="B19" s="5" t="inlineStr">
        <is>
          <t>Which way does the lock knob face when the stud points at the window?</t>
        </is>
      </c>
      <c r="C19" s="8" t="n"/>
      <c r="D19" s="10" t="n"/>
      <c r="E19" s="5" t="inlineStr">
        <is>
          <t>Must be reachable through the hatch.</t>
        </is>
      </c>
    </row>
    <row r="20">
      <c r="A20" s="9" t="inlineStr">
        <is>
          <t>Ball head</t>
        </is>
      </c>
      <c r="B20" s="5" t="inlineStr">
        <is>
          <t>Base thread: 1/4-20 or 3/8-16?</t>
        </is>
      </c>
      <c r="C20" s="8" t="n"/>
      <c r="D20" s="10" t="n"/>
      <c r="E20" s="5" t="inlineStr">
        <is>
          <t>The pedestal insert is 1/4-20; a 3/8 base needs a bushing.</t>
        </is>
      </c>
    </row>
    <row r="21">
      <c r="A21" s="9" t="inlineStr">
        <is>
          <t>Ball head</t>
        </is>
      </c>
      <c r="B21" s="5" t="inlineStr">
        <is>
          <t>One knob for ball and pan, or separate locks?</t>
        </is>
      </c>
      <c r="C21" s="8" t="n"/>
      <c r="D21" s="10" t="n"/>
      <c r="E21" s="5" t="inlineStr">
        <is>
          <t>Every knob has to land in the hatch.</t>
        </is>
      </c>
    </row>
    <row r="22">
      <c r="A22" s="9" t="inlineStr">
        <is>
          <t>DC brick</t>
        </is>
      </c>
      <c r="B22" s="5" t="inlineStr">
        <is>
          <t>Polarity of the barrel plug (centre + or centre -)</t>
        </is>
      </c>
      <c r="C22" s="8" t="n"/>
      <c r="D22" s="10" t="inlineStr">
        <is>
          <t>Centre + (label symbol, 2026-10-05). Confirm with a meter before cutting the lead.</t>
        </is>
      </c>
      <c r="E22" s="5" t="inlineStr">
        <is>
          <t>Never guess: check the label.</t>
        </is>
      </c>
    </row>
    <row r="23">
      <c r="A23" s="9" t="inlineStr">
        <is>
          <t>DC brick</t>
        </is>
      </c>
      <c r="B23" s="5" t="inlineStr">
        <is>
          <t>AC inlet type (C7 / C5 / C13) or captive cord</t>
        </is>
      </c>
      <c r="C23" s="8" t="n"/>
      <c r="D23" s="10" t="inlineStr">
        <is>
          <t>None: wall-wart with fixed NEMA 1-15 prongs (2-pin, non-polarized, Class II). No IEC inlet.</t>
        </is>
      </c>
      <c r="E23" s="5" t="inlineStr"/>
    </row>
    <row r="24">
      <c r="A24" s="9" t="inlineStr">
        <is>
          <t>DC brick</t>
        </is>
      </c>
      <c r="B24" s="5" t="inlineStr">
        <is>
          <t>Can it run projector + Pi + Amp4 together at full volume?</t>
        </is>
      </c>
      <c r="C24" s="8" t="n"/>
      <c r="D24" s="10" t="inlineStr">
        <is>
          <t>No: 48 W covers the projector alone. A second 24 V wall-wart (2.5-3 A) on the upper receptacle feeds the Pi, Amp4 and fans.</t>
        </is>
      </c>
      <c r="E24" s="5" t="inlineStr">
        <is>
          <t>Bench test; watch for undervoltage.</t>
        </is>
      </c>
    </row>
    <row r="25">
      <c r="A25" s="9" t="inlineStr">
        <is>
          <t>DC brick</t>
        </is>
      </c>
      <c r="B25" s="5" t="inlineStr">
        <is>
          <t>Relay module: coil voltage and trigger level (3.3 V logic?)</t>
        </is>
      </c>
      <c r="C25" s="8" t="n"/>
      <c r="D25" s="10" t="n"/>
      <c r="E25" s="5" t="inlineStr">
        <is>
          <t>Driven from a Pi GPIO; 5 V modules often need a transistor or an opto board.</t>
        </is>
      </c>
    </row>
    <row r="26">
      <c r="A26" s="9" t="inlineStr">
        <is>
          <t>Pi</t>
        </is>
      </c>
      <c r="B26" s="5" t="inlineStr">
        <is>
          <t>Which Pi generation and sled</t>
        </is>
      </c>
      <c r="C26" s="8" t="n"/>
      <c r="D26" s="10" t="n"/>
      <c r="E26" s="5" t="inlineStr">
        <is>
          <t>pi3 / pi4 / pi5 / zero2w</t>
        </is>
      </c>
    </row>
    <row r="27">
      <c r="A27" s="9" t="inlineStr">
        <is>
          <t>Pi</t>
        </is>
      </c>
      <c r="B27" s="5" t="inlineStr">
        <is>
          <t>GPIOs the Amp4 leaves free</t>
        </is>
      </c>
      <c r="C27" s="8" t="n"/>
      <c r="D27" s="10" t="n"/>
      <c r="E27" s="5" t="inlineStr">
        <is>
          <t>Needed for PIR, DS18B20s, fan PWM and tach, relay.</t>
        </is>
      </c>
    </row>
    <row r="28">
      <c r="A28" s="9" t="inlineStr">
        <is>
          <t>Site</t>
        </is>
      </c>
      <c r="B28" s="5" t="inlineStr">
        <is>
          <t>Which direction do visitors approach from, relative to the projection surface?</t>
        </is>
      </c>
      <c r="C28" s="8" t="n"/>
      <c r="D28" s="10" t="n"/>
      <c r="E28" s="5" t="inlineStr">
        <is>
          <t>The PIR looks out the rear wall and the case faces the surface. If they come from the side, the PIR moves or the scare uses the web/Matter trigger.</t>
        </is>
      </c>
    </row>
    <row r="29">
      <c r="A29" s="9" t="inlineStr">
        <is>
          <t>Site</t>
        </is>
      </c>
      <c r="B29" s="5" t="inlineStr">
        <is>
          <t>Where does rain come from (prevailing wind), and does the spot pool?</t>
        </is>
      </c>
      <c r="C29" s="8" t="n"/>
      <c r="D29" s="10" t="n"/>
      <c r="E29" s="5" t="inlineStr">
        <is>
          <t>The case sheds rain from above; standing water above the 6 mm feet reaches the intake.</t>
        </is>
      </c>
    </row>
    <row r="30">
      <c r="A30" s="9" t="inlineStr">
        <is>
          <t>Fit coupon</t>
        </is>
      </c>
      <c r="B30" s="5" t="inlineStr">
        <is>
          <t>3/8-16 insert fit</t>
        </is>
      </c>
      <c r="C30" s="8" t="n"/>
      <c r="D30" s="10" t="n"/>
      <c r="E30" s="5" t="inlineStr">
        <is>
          <t>snug / loose / cracked</t>
        </is>
      </c>
    </row>
    <row r="31">
      <c r="A31" s="9" t="inlineStr">
        <is>
          <t>Fit coupon</t>
        </is>
      </c>
      <c r="B31" s="5" t="inlineStr">
        <is>
          <t>1/4-20 insert fit</t>
        </is>
      </c>
      <c r="C31" s="8" t="n"/>
      <c r="D31" s="10" t="n"/>
      <c r="E31" s="5" t="inlineStr">
        <is>
          <t>snug / loose / cracked</t>
        </is>
      </c>
    </row>
    <row r="32">
      <c r="A32" s="9" t="inlineStr">
        <is>
          <t>Fit coupon</t>
        </is>
      </c>
      <c r="B32" s="5" t="inlineStr">
        <is>
          <t>M4 insert fit</t>
        </is>
      </c>
      <c r="C32" s="8" t="n"/>
      <c r="D32" s="10" t="n"/>
      <c r="E32" s="5" t="inlineStr">
        <is>
          <t>snug / loose / cracked</t>
        </is>
      </c>
    </row>
    <row r="33">
      <c r="A33" s="9" t="inlineStr">
        <is>
          <t>Fit coupon</t>
        </is>
      </c>
      <c r="B33" s="5" t="inlineStr">
        <is>
          <t>M3 insert fit</t>
        </is>
      </c>
      <c r="C33" s="8" t="n"/>
      <c r="D33" s="10" t="n"/>
      <c r="E33" s="5" t="inlineStr">
        <is>
          <t>snug / loose / cracked</t>
        </is>
      </c>
    </row>
    <row r="34">
      <c r="A34" s="9" t="inlineStr">
        <is>
          <t>Fit coupon</t>
        </is>
      </c>
      <c r="B34" s="5" t="inlineStr">
        <is>
          <t>M3 / M2.5 / M2 screws in the pilots</t>
        </is>
      </c>
      <c r="C34" s="8" t="n"/>
      <c r="D34" s="10" t="n"/>
      <c r="E34" s="5" t="inlineStr">
        <is>
          <t>bite / strip / split</t>
        </is>
      </c>
    </row>
    <row r="35">
      <c r="A35" s="9" t="inlineStr">
        <is>
          <t>Fit coupon</t>
        </is>
      </c>
      <c r="B35" s="5" t="inlineStr">
        <is>
          <t>M4 bolt in the keyhole: slides and seats?</t>
        </is>
      </c>
      <c r="C35" s="8" t="n"/>
      <c r="D35" s="10" t="n"/>
      <c r="E35" s="5" t="inlineStr"/>
    </row>
    <row r="36">
      <c r="A36" s="9" t="inlineStr">
        <is>
          <t>Fit coupon</t>
        </is>
      </c>
      <c r="B36" s="5" t="inlineStr">
        <is>
          <t>Acrylic in the slot: snug, no rattle?</t>
        </is>
      </c>
      <c r="C36" s="8" t="n"/>
      <c r="D36" s="10" t="n"/>
      <c r="E36" s="5"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2026-10-06T03:25:11Z</dcterms:created>
  <dcterms:modified xsi:type="dcterms:W3CDTF">2026-10-06T03:25:11Z</dcterms:modified>
</cp:coreProperties>
</file>