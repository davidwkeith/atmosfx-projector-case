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4"/>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Lowest plug edge above underside</t>
        </is>
      </c>
      <c r="C15" s="9" t="inlineStr">
        <is>
          <t>port_band[0]</t>
        </is>
      </c>
      <c r="D15" s="9" t="n">
        <v>15</v>
      </c>
      <c r="E15" s="9" t="inlineStr">
        <is>
          <t>mm</t>
        </is>
      </c>
      <c r="F15" s="8" t="n"/>
      <c r="G15" s="10" t="n"/>
      <c r="H15" s="9">
        <f>IF(NOT(ISNUMBER(D15)),"",IF(ISNUMBER(G15),G15-D15,IF(ISNUMBER(F15),F15-D15,"")))</f>
        <v/>
      </c>
      <c r="I15" s="9" t="n">
        <v>3</v>
      </c>
      <c r="J15" s="11">
        <f>IF(OR(H15="",I15=""),"",IF(ABS(H15)&gt;I15,IF(ISNUMBER(G15),"UPDATE","UPDATE (spec)"),"ok"))</f>
        <v/>
      </c>
      <c r="K15" s="5" t="inlineStr">
        <is>
          <t>With the HDMI and power plugs fitted.</t>
        </is>
      </c>
    </row>
    <row r="16">
      <c r="A16" s="9" t="inlineStr">
        <is>
          <t>Projector</t>
        </is>
      </c>
      <c r="B16" s="5" t="inlineStr">
        <is>
          <t>Highest plug edge above underside</t>
        </is>
      </c>
      <c r="C16" s="9" t="inlineStr">
        <is>
          <t>port_band[1]</t>
        </is>
      </c>
      <c r="D16" s="9" t="n">
        <v>55</v>
      </c>
      <c r="E16" s="9" t="inlineStr">
        <is>
          <t>mm</t>
        </is>
      </c>
      <c r="F16" s="8" t="n"/>
      <c r="G16" s="10" t="n"/>
      <c r="H16" s="9">
        <f>IF(NOT(ISNUMBER(D16)),"",IF(ISNUMBER(G16),G16-D16,IF(ISNUMBER(F16),F16-D16,"")))</f>
        <v/>
      </c>
      <c r="I16" s="9" t="n">
        <v>3</v>
      </c>
      <c r="J16" s="11">
        <f>IF(OR(H16="",I16=""),"",IF(ABS(H16)&gt;I16,IF(ISNUMBER(G16),"UPDATE","UPDATE (spec)"),"ok"))</f>
        <v/>
      </c>
      <c r="K16" s="5" t="inlineStr"/>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Plugs fitted, cable bent the way it will run. A straight HDMI plug is about 40.</t>
        </is>
      </c>
    </row>
    <row r="18">
      <c r="A18" s="9" t="inlineStr">
        <is>
          <t>Projector</t>
        </is>
      </c>
      <c r="B18" s="5" t="inlineStr">
        <is>
          <t>HDMI port position along the rear face, X (+ = right)</t>
        </is>
      </c>
      <c r="C18" s="9" t="n"/>
      <c r="D18" s="9" t="n"/>
      <c r="E18" s="9" t="inlineStr">
        <is>
          <t>mm</t>
        </is>
      </c>
      <c r="F18" s="8" t="n"/>
      <c r="G18" s="10" t="n"/>
      <c r="H18" s="9">
        <f>IF(NOT(ISNUMBER(D18)),"",IF(ISNUMBER(G18),G18-D18,IF(ISNUMBER(F18),F18-D18,"")))</f>
        <v/>
      </c>
      <c r="I18" s="9" t="n"/>
      <c r="J18" s="11">
        <f>IF(OR(H18="",I18=""),"",IF(ABS(H18)&gt;I18,IF(ISNUMBER(G18),"UPDATE","UPDATE (spec)"),"ok"))</f>
        <v/>
      </c>
      <c r="K18" s="5" t="inlineStr">
        <is>
          <t>Centre of the port. The Pi's cable comes through the divider pass-through (pass_x: -40 to 25 from centre); a port far outside that band means a tight bend behind the projector.</t>
        </is>
      </c>
    </row>
    <row r="19">
      <c r="A19" s="9" t="inlineStr">
        <is>
          <t>Projector</t>
        </is>
      </c>
      <c r="B19" s="5" t="inlineStr">
        <is>
          <t>Power jack position along the rear face, X (+ = right)</t>
        </is>
      </c>
      <c r="C19" s="9" t="n"/>
      <c r="D19" s="9" t="n"/>
      <c r="E19" s="9" t="inlineStr">
        <is>
          <t>mm</t>
        </is>
      </c>
      <c r="F19" s="8" t="n"/>
      <c r="G19" s="10" t="n"/>
      <c r="H19" s="9">
        <f>IF(NOT(ISNUMBER(D19)),"",IF(ISNUMBER(G19),G19-D19,IF(ISNUMBER(F19),F19-D19,"")))</f>
        <v/>
      </c>
      <c r="I19" s="9" t="n"/>
      <c r="J19" s="11">
        <f>IF(OR(H19="",I19=""),"",IF(ABS(H19)&gt;I19,IF(ISNUMBER(G19),"UPDATE","UPDATE (spec)"),"ok"))</f>
        <v/>
      </c>
      <c r="K19" s="5" t="inlineStr">
        <is>
          <t>Centre of the jack.</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t>
        </is>
      </c>
      <c r="C26" s="9" t="n"/>
      <c r="D26" s="9" t="n"/>
      <c r="E26" s="9" t="inlineStr">
        <is>
          <t>mm</t>
        </is>
      </c>
      <c r="F26" s="8" t="n"/>
      <c r="G26" s="10" t="n"/>
      <c r="H26" s="9">
        <f>IF(NOT(ISNUMBER(D26)),"",IF(ISNUMBER(G26),G26-D26,IF(ISNUMBER(F26),F26-D26,"")))</f>
        <v/>
      </c>
      <c r="I26" s="9" t="n">
        <v>3</v>
      </c>
      <c r="J26" s="11">
        <f>IF(OR(H26="",I26=""),"",IF(ABS(H26)&gt;I26,IF(ISNUMBER(G26),"UPDATE","UPDATE (spec)"),"ok"))</f>
        <v/>
      </c>
      <c r="K26" s="5" t="inlineStr">
        <is>
          <t>ir_holder sticks on inside the case and aims a 5 mm LED ir_angle (30 deg) at this window. Face in Observations.</t>
        </is>
      </c>
    </row>
    <row r="27">
      <c r="A27" s="9" t="inlineStr">
        <is>
          <t>Projector</t>
        </is>
      </c>
      <c r="B27" s="5" t="inlineStr">
        <is>
          <t>IR receiver position along its face (+ = right)</t>
        </is>
      </c>
      <c r="C27" s="9" t="n"/>
      <c r="D27" s="9" t="n"/>
      <c r="E27" s="9" t="inlineStr">
        <is>
          <t>mm</t>
        </is>
      </c>
      <c r="F27" s="8" t="n"/>
      <c r="G27" s="10" t="n"/>
      <c r="H27" s="9">
        <f>IF(NOT(ISNUMBER(D27)),"",IF(ISNUMBER(G27),G27-D27,IF(ISNUMBER(F27),F27-D27,"")))</f>
        <v/>
      </c>
      <c r="I27" s="9" t="n">
        <v>3</v>
      </c>
      <c r="J27" s="11">
        <f>IF(OR(H27="",I27=""),"",IF(ABS(H27)&gt;I27,IF(ISNUMBER(G27),"UPDATE","UPDATE (spec)"),"ok"))</f>
        <v/>
      </c>
      <c r="K27" s="5" t="inlineStr"/>
    </row>
    <row r="28">
      <c r="A28" s="9" t="inlineStr">
        <is>
          <t>Projector</t>
        </is>
      </c>
      <c r="B28" s="5" t="inlineStr">
        <is>
          <t>Intake vent extent along its face (from-to, + = right)</t>
        </is>
      </c>
      <c r="C28" s="9" t="n"/>
      <c r="D28" s="9" t="n"/>
      <c r="E28" s="9" t="inlineStr">
        <is>
          <t>mm</t>
        </is>
      </c>
      <c r="F28" s="8" t="n"/>
      <c r="G28" s="10" t="n"/>
      <c r="H28" s="9">
        <f>IF(NOT(ISNUMBER(D28)),"",IF(ISNUMBER(G28),G28-D28,IF(ISNUMBER(F28),F28-D28,"")))</f>
        <v/>
      </c>
      <c r="I28" s="9" t="n">
        <v>5</v>
      </c>
      <c r="J28" s="11">
        <f>IF(OR(H28="",I28=""),"",IF(ABS(H28)&gt;I28,IF(ISNUMBER(G28),"UPDATE","UPDATE (spec)"),"ok"))</f>
        <v/>
      </c>
      <c r="K28" s="5" t="inlineStr">
        <is>
          <t>Type as from-to, e.g. -70-(-20). Louver banks (vents) and the floor intake should feed it. Face in Observations.</t>
        </is>
      </c>
    </row>
    <row r="29">
      <c r="A29" s="9" t="inlineStr">
        <is>
          <t>Projector</t>
        </is>
      </c>
      <c r="B29" s="5" t="inlineStr">
        <is>
          <t>Intake vent height band above underside (low-high)</t>
        </is>
      </c>
      <c r="C29" s="9" t="n"/>
      <c r="D29" s="9" t="n"/>
      <c r="E29" s="9" t="inlineStr">
        <is>
          <t>mm</t>
        </is>
      </c>
      <c r="F29" s="8" t="n"/>
      <c r="G29" s="10" t="n"/>
      <c r="H29" s="9">
        <f>IF(NOT(ISNUMBER(D29)),"",IF(ISNUMBER(G29),G29-D29,IF(ISNUMBER(F29),F29-D29,"")))</f>
        <v/>
      </c>
      <c r="I29" s="9" t="n">
        <v>5</v>
      </c>
      <c r="J29" s="11">
        <f>IF(OR(H29="",I29=""),"",IF(ABS(H29)&gt;I29,IF(ISNUMBER(G29),"UPDATE","UPDATE (spec)"),"ok"))</f>
        <v/>
      </c>
      <c r="K29" s="5" t="inlineStr"/>
    </row>
    <row r="30">
      <c r="A30" s="9" t="inlineStr">
        <is>
          <t>Projector</t>
        </is>
      </c>
      <c r="B30" s="5" t="inlineStr">
        <is>
          <t>Exhaust vent extent along its face (from-to, + = right)</t>
        </is>
      </c>
      <c r="C30" s="9" t="n"/>
      <c r="D30" s="9" t="n"/>
      <c r="E30" s="9" t="inlineStr">
        <is>
          <t>mm</t>
        </is>
      </c>
      <c r="F30" s="8" t="n"/>
      <c r="G30" s="10" t="n"/>
      <c r="H30" s="9">
        <f>IF(NOT(ISNUMBER(D30)),"",IF(ISNUMBER(G30),G30-D30,IF(ISNUMBER(F30),F30-D30,"")))</f>
        <v/>
      </c>
      <c r="I30" s="9" t="n">
        <v>5</v>
      </c>
      <c r="J30" s="11">
        <f>IF(OR(H30="",I30=""),"",IF(ABS(H30)&gt;I30,IF(ISNUMBER(G30),"UPDATE","UPDATE (spec)"),"ok"))</f>
        <v/>
      </c>
      <c r="K30" s="5" t="inlineStr">
        <is>
          <t>The projector-zone 40 mm fan on the right wall should sit level with it. Face in Observations.</t>
        </is>
      </c>
    </row>
    <row r="31">
      <c r="A31" s="9" t="inlineStr">
        <is>
          <t>Projector</t>
        </is>
      </c>
      <c r="B31" s="5" t="inlineStr">
        <is>
          <t>Exhaust vent height band above underside (low-high)</t>
        </is>
      </c>
      <c r="C31" s="9" t="n"/>
      <c r="D31" s="9" t="n"/>
      <c r="E31" s="9" t="inlineStr">
        <is>
          <t>mm</t>
        </is>
      </c>
      <c r="F31" s="8" t="n"/>
      <c r="G31" s="10" t="n"/>
      <c r="H31" s="9">
        <f>IF(NOT(ISNUMBER(D31)),"",IF(ISNUMBER(G31),G31-D31,IF(ISNUMBER(F31),F31-D31,"")))</f>
        <v/>
      </c>
      <c r="I31" s="9" t="n">
        <v>5</v>
      </c>
      <c r="J31" s="11">
        <f>IF(OR(H31="",I31=""),"",IF(ABS(H31)&gt;I31,IF(ISNUMBER(G31),"UPDATE","UPDATE (spec)"),"ok"))</f>
        <v/>
      </c>
      <c r="K31" s="5" t="inlineStr"/>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is>
          <t>(tripod_y centroid)</t>
        </is>
      </c>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inlineStr"/>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inlineStr"/>
    </row>
    <row r="38">
      <c r="A38" s="9" t="inlineStr">
        <is>
          <t>Projector</t>
        </is>
      </c>
      <c r="B38" s="5" t="inlineStr">
        <is>
          <t>Throw ratio</t>
        </is>
      </c>
      <c r="C38" s="9" t="inlineStr">
        <is>
          <t>throw_ratio</t>
        </is>
      </c>
      <c r="D38" s="9" t="n">
        <v>0.95</v>
      </c>
      <c r="E38" s="9" t="inlineStr"/>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inlineStr"/>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inlineStr"/>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inlineStr"/>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DC brick</t>
        </is>
      </c>
      <c r="B53" s="5" t="inlineStr">
        <is>
          <t>Length</t>
        </is>
      </c>
      <c r="C53" s="9" t="inlineStr">
        <is>
          <t>brick_l</t>
        </is>
      </c>
      <c r="D53" s="9" t="n">
        <v>100</v>
      </c>
      <c r="E53" s="9" t="inlineStr">
        <is>
          <t>mm</t>
        </is>
      </c>
      <c r="F53" s="8" t="n"/>
      <c r="G53" s="10" t="n"/>
      <c r="H53" s="9">
        <f>IF(NOT(ISNUMBER(D53)),"",IF(ISNUMBER(G53),G53-D53,IF(ISNUMBER(F53),F53-D53,"")))</f>
        <v/>
      </c>
      <c r="I53" s="9" t="n">
        <v>2</v>
      </c>
      <c r="J53" s="11">
        <f>IF(OR(H53="",I53=""),"",IF(ABS(H53)&gt;I53,IF(ISNUMBER(G53),"UPDATE","UPDATE (spec)"),"ok"))</f>
        <v/>
      </c>
      <c r="K53" s="5" t="inlineStr">
        <is>
          <t>Only if the projector uses an external brick. See Observations.</t>
        </is>
      </c>
    </row>
    <row r="54">
      <c r="A54" s="9" t="inlineStr">
        <is>
          <t>DC brick</t>
        </is>
      </c>
      <c r="B54" s="5" t="inlineStr">
        <is>
          <t>Width</t>
        </is>
      </c>
      <c r="C54" s="9" t="inlineStr">
        <is>
          <t>brick_w</t>
        </is>
      </c>
      <c r="D54" s="9" t="n">
        <v>50</v>
      </c>
      <c r="E54" s="9" t="inlineStr">
        <is>
          <t>mm</t>
        </is>
      </c>
      <c r="F54" s="8" t="n"/>
      <c r="G54" s="10" t="n"/>
      <c r="H54" s="9">
        <f>IF(NOT(ISNUMBER(D54)),"",IF(ISNUMBER(G54),G54-D54,IF(ISNUMBER(F54),F54-D54,"")))</f>
        <v/>
      </c>
      <c r="I54" s="9" t="n">
        <v>2</v>
      </c>
      <c r="J54" s="11">
        <f>IF(OR(H54="",I54=""),"",IF(ABS(H54)&gt;I54,IF(ISNUMBER(G54),"UPDATE","UPDATE (spec)"),"ok"))</f>
        <v/>
      </c>
      <c r="K54" s="5" t="inlineStr"/>
    </row>
    <row r="55">
      <c r="A55" s="9" t="inlineStr">
        <is>
          <t>DC brick</t>
        </is>
      </c>
      <c r="B55" s="5" t="inlineStr">
        <is>
          <t>Height</t>
        </is>
      </c>
      <c r="C55" s="9" t="inlineStr">
        <is>
          <t>brick_h</t>
        </is>
      </c>
      <c r="D55" s="9" t="n">
        <v>32</v>
      </c>
      <c r="E55" s="9" t="inlineStr">
        <is>
          <t>mm</t>
        </is>
      </c>
      <c r="F55" s="8" t="n"/>
      <c r="G55" s="10" t="n"/>
      <c r="H55" s="9">
        <f>IF(NOT(ISNUMBER(D55)),"",IF(ISNUMBER(G55),G55-D55,IF(ISNUMBER(F55),F55-D55,"")))</f>
        <v/>
      </c>
      <c r="I55" s="9" t="n">
        <v>2</v>
      </c>
      <c r="J55" s="11">
        <f>IF(OR(H55="",I55=""),"",IF(ABS(H55)&gt;I55,IF(ISNUMBER(G55),"UPDATE","UPDATE (spec)"),"ok"))</f>
        <v/>
      </c>
      <c r="K55" s="5" t="inlineStr"/>
    </row>
    <row r="56">
      <c r="A56" s="9" t="inlineStr">
        <is>
          <t>DC brick</t>
        </is>
      </c>
      <c r="B56" s="5" t="inlineStr">
        <is>
          <t>Output voltage</t>
        </is>
      </c>
      <c r="C56" s="9" t="n"/>
      <c r="D56" s="9" t="n">
        <v>21</v>
      </c>
      <c r="E56" s="9" t="inlineStr">
        <is>
          <t>V</t>
        </is>
      </c>
      <c r="F56" s="8" t="n">
        <v>21</v>
      </c>
      <c r="G56" s="10" t="n"/>
      <c r="H56" s="9">
        <f>IF(NOT(ISNUMBER(D56)),"",IF(ISNUMBER(G56),G56-D56,IF(ISNUMBER(F56),F56-D56,"")))</f>
        <v/>
      </c>
      <c r="I56" s="9" t="n">
        <v>0.5</v>
      </c>
      <c r="J56" s="11">
        <f>IF(OR(H56="",I56=""),"",IF(ABS(H56)&gt;I56,IF(ISNUMBER(G56),"UPDATE","UPDATE (spec)"),"ok"))</f>
        <v/>
      </c>
      <c r="K56" s="5" t="inlineStr">
        <is>
          <t>Projector label reads DC 21 V (confirm with a meter). Amp4 takes 12-24 V; fans must be 24 V parts.</t>
        </is>
      </c>
    </row>
    <row r="57">
      <c r="A57" s="9" t="inlineStr">
        <is>
          <t>DC brick</t>
        </is>
      </c>
      <c r="B57" s="5" t="inlineStr">
        <is>
          <t>Output current</t>
        </is>
      </c>
      <c r="C57" s="9" t="n"/>
      <c r="D57" s="9" t="n"/>
      <c r="E57" s="9" t="inlineStr">
        <is>
          <t>A</t>
        </is>
      </c>
      <c r="F57" s="8" t="n">
        <v>3</v>
      </c>
      <c r="G57" s="10" t="n"/>
      <c r="H57" s="9">
        <f>IF(NOT(ISNUMBER(D57)),"",IF(ISNUMBER(G57),G57-D57,IF(ISNUMBER(F57),F57-D57,"")))</f>
        <v/>
      </c>
      <c r="I57" s="9" t="n"/>
      <c r="J57" s="11">
        <f>IF(OR(H57="",I57=""),"",IF(ABS(H57)&gt;I57,IF(ISNUMBER(G57),"UPDATE","UPDATE (spec)"),"ok"))</f>
        <v/>
      </c>
      <c r="K57" s="5" t="inlineStr">
        <is>
          <t>Projector label: 3000 mA, so the stock brick covers the projector alone. A brick for everything needs 5 A or more. Sizes the DC fuse.</t>
        </is>
      </c>
    </row>
    <row r="58">
      <c r="A58" s="9" t="inlineStr">
        <is>
          <t>DC brick</t>
        </is>
      </c>
      <c r="B58" s="5" t="inlineStr">
        <is>
          <t>Input current</t>
        </is>
      </c>
      <c r="C58" s="9" t="n"/>
      <c r="D58" s="9" t="n"/>
      <c r="E58" s="9" t="inlineStr">
        <is>
          <t>A</t>
        </is>
      </c>
      <c r="F58" s="8" t="n"/>
      <c r="G58" s="10" t="n"/>
      <c r="H58" s="9">
        <f>IF(NOT(ISNUMBER(D58)),"",IF(ISNUMBER(G58),G58-D58,IF(ISNUMBER(F58),F58-D58,"")))</f>
        <v/>
      </c>
      <c r="I58" s="9" t="n"/>
      <c r="J58" s="11">
        <f>IF(OR(H58="",I58=""),"",IF(ABS(H58)&gt;I58,IF(ISNUMBER(G58),"UPDATE","UPDATE (spec)"),"ok"))</f>
        <v/>
      </c>
      <c r="K58" s="5" t="inlineStr">
        <is>
          <t>Sizes the AC fuse. Manual: 110 V.</t>
        </is>
      </c>
    </row>
    <row r="59">
      <c r="A59" s="9" t="inlineStr">
        <is>
          <t>DC brick</t>
        </is>
      </c>
      <c r="B59" s="5" t="inlineStr">
        <is>
          <t>AC cord outer diameter</t>
        </is>
      </c>
      <c r="C59" s="9" t="inlineStr">
        <is>
          <t>(gland_d)</t>
        </is>
      </c>
      <c r="D59" s="9" t="n"/>
      <c r="E59" s="9" t="inlineStr">
        <is>
          <t>mm</t>
        </is>
      </c>
      <c r="F59" s="8" t="n"/>
      <c r="G59" s="10" t="n"/>
      <c r="H59" s="9">
        <f>IF(NOT(ISNUMBER(D59)),"",IF(ISNUMBER(G59),G59-D59,IF(ISNUMBER(F59),F59-D59,"")))</f>
        <v/>
      </c>
      <c r="I59" s="9" t="n"/>
      <c r="J59" s="11">
        <f>IF(OR(H59="",I59=""),"",IF(ABS(H59)&gt;I59,IF(ISNUMBER(G59),"UPDATE","UPDATE (spec)"),"ok"))</f>
        <v/>
      </c>
      <c r="K59" s="5" t="inlineStr">
        <is>
          <t>Must be inside the PG9 cord grip's clamp range.</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(-65), cord_dz (46) above the shelf.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input, one on the DC output. Type L x D. They lie on the shelf each side of the barrier.</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Amp4.</t>
        </is>
      </c>
    </row>
    <row r="65">
      <c r="A65" s="9" t="inlineStr">
        <is>
          <t>Pi stack</t>
        </is>
      </c>
      <c r="B65" s="5" t="inlineStr">
        <is>
          <t>Pi 3/4: board bottom to top of Amp4</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Amp4</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inlineStr"/>
    </row>
    <row r="67">
      <c r="A67" s="9" t="inlineStr">
        <is>
          <t>Pi stack</t>
        </is>
      </c>
      <c r="B67" s="5" t="inlineStr">
        <is>
          <t>Zero 2 W: board bottom to top of Amp4</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inlineStr"/>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inlineStr"/>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inlineStr"/>
    </row>
    <row r="72">
      <c r="A72" s="9" t="inlineStr">
        <is>
          <t>Pi stack</t>
        </is>
      </c>
      <c r="B72" s="5" t="inlineStr">
        <is>
          <t>DS18B20 probe diameter</t>
        </is>
      </c>
      <c r="C72" s="9" t="n"/>
      <c r="D72" s="9" t="n"/>
      <c r="E72" s="9" t="inlineStr">
        <is>
          <t>mm</t>
        </is>
      </c>
      <c r="F72" s="8" t="n"/>
      <c r="G72" s="10" t="n"/>
      <c r="H72" s="9">
        <f>IF(NOT(ISNUMBER(D72)),"",IF(ISNUMBER(G72),G72-D72,IF(ISNUMBER(F72),F72-D72,"")))</f>
        <v/>
      </c>
      <c r="I72" s="9" t="n">
        <v>0.5</v>
      </c>
      <c r="J72" s="11">
        <f>IF(OR(H72="",I72=""),"",IF(ABS(H72)&gt;I72,IF(ISNUMBER(G72),"UPDATE","UPDATE (spec)"),"ok"))</f>
        <v/>
      </c>
      <c r="K72" s="5" t="inlineStr">
        <is>
          <t>Two sensors: projector zone and Pi zone. Sets the clip or hole that holds each probe.</t>
        </is>
      </c>
    </row>
    <row r="73">
      <c r="A73" s="9" t="inlineStr">
        <is>
          <t>Fans</t>
        </is>
      </c>
      <c r="B73" s="5" t="inlineStr">
        <is>
          <t>Fan frame size</t>
        </is>
      </c>
      <c r="C73" s="9" t="inlineStr">
        <is>
          <t>fan</t>
        </is>
      </c>
      <c r="D73" s="9" t="n">
        <v>40</v>
      </c>
      <c r="E73" s="9" t="inlineStr">
        <is>
          <t>mm</t>
        </is>
      </c>
      <c r="F73" s="8" t="n"/>
      <c r="G73" s="10" t="n"/>
      <c r="H73" s="9">
        <f>IF(NOT(ISNUMBER(D73)),"",IF(ISNUMBER(G73),G73-D73,IF(ISNUMBER(F73),F73-D73,"")))</f>
        <v/>
      </c>
      <c r="I73" s="9" t="n">
        <v>0.5</v>
      </c>
      <c r="J73" s="11">
        <f>IF(OR(H73="",I73=""),"",IF(ABS(H73)&gt;I73,IF(ISNUMBER(G73),"UPDATE","UPDATE (spec)"),"ok"))</f>
        <v/>
      </c>
      <c r="K73" s="5" t="inlineStr">
        <is>
          <t>40 mm fans have 32 mm hole spacing.</t>
        </is>
      </c>
    </row>
    <row r="74">
      <c r="A74" s="9" t="inlineStr">
        <is>
          <t>Fans</t>
        </is>
      </c>
      <c r="B74" s="5" t="inlineStr">
        <is>
          <t>Fan body thickness</t>
        </is>
      </c>
      <c r="C74" s="9" t="n"/>
      <c r="D74" s="9" t="n">
        <v>10</v>
      </c>
      <c r="E74" s="9" t="inlineStr">
        <is>
          <t>mm</t>
        </is>
      </c>
      <c r="F74" s="8" t="n"/>
      <c r="G74" s="10" t="n"/>
      <c r="H74" s="9">
        <f>IF(NOT(ISNUMBER(D74)),"",IF(ISNUMBER(G74),G74-D74,IF(ISNUMBER(F74),F74-D74,"")))</f>
        <v/>
      </c>
      <c r="I74" s="9" t="n">
        <v>1</v>
      </c>
      <c r="J74" s="11">
        <f>IF(OR(H74="",I74=""),"",IF(ABS(H74)&gt;I74,IF(ISNUMBER(G74),"UPDATE","UPDATE (spec)"),"ok"))</f>
        <v/>
      </c>
      <c r="K74" s="5" t="inlineStr">
        <is>
          <t>fan_body() is 10 thick; with screen and bosses it stands 14 proud of the right wall inside side_air (25). A 20 mm fan clashes with the pan sweep.</t>
        </is>
      </c>
    </row>
    <row r="75">
      <c r="A75" s="9" t="inlineStr">
        <is>
          <t>Fans</t>
        </is>
      </c>
      <c r="B75" s="5" t="inlineStr">
        <is>
          <t>Fan cable length</t>
        </is>
      </c>
      <c r="C75" s="9" t="n"/>
      <c r="D75" s="9" t="n"/>
      <c r="E75" s="9" t="inlineStr">
        <is>
          <t>mm</t>
        </is>
      </c>
      <c r="F75" s="8" t="n"/>
      <c r="G75" s="10" t="n"/>
      <c r="H75" s="9">
        <f>IF(NOT(ISNUMBER(D75)),"",IF(ISNUMBER(G75),G75-D75,IF(ISNUMBER(F75),F75-D75,"")))</f>
        <v/>
      </c>
      <c r="I75" s="9" t="n">
        <v>20</v>
      </c>
      <c r="J75" s="11">
        <f>IF(OR(H75="",I75=""),"",IF(ABS(H75)&gt;I75,IF(ISNUMBER(G75),"UPDATE","UPDATE (spec)"),"ok"))</f>
        <v/>
      </c>
      <c r="K75" s="5" t="inlineStr">
        <is>
          <t>Fan to the Pi header (PWM, tach) and to the splice for 21 V.</t>
        </is>
      </c>
    </row>
    <row r="76">
      <c r="A76" s="9" t="inlineStr">
        <is>
          <t>Fans</t>
        </is>
      </c>
      <c r="B76" s="5" t="inlineStr">
        <is>
          <t>Rated voltage</t>
        </is>
      </c>
      <c r="C76" s="9" t="n"/>
      <c r="D76" s="9" t="n">
        <v>24</v>
      </c>
      <c r="E76" s="9" t="inlineStr">
        <is>
          <t>V</t>
        </is>
      </c>
      <c r="F76" s="8" t="n"/>
      <c r="G76" s="10" t="n"/>
      <c r="H76" s="9">
        <f>IF(NOT(ISNUMBER(D76)),"",IF(ISNUMBER(G76),G76-D76,IF(ISNUMBER(F76),F76-D76,"")))</f>
        <v/>
      </c>
      <c r="I76" s="9" t="n">
        <v>0</v>
      </c>
      <c r="J76" s="11">
        <f>IF(OR(H76="",I76=""),"",IF(ABS(H76)&gt;I76,IF(ISNUMBER(G76),"UPDATE","UPDATE (spec)"),"ok"))</f>
        <v/>
      </c>
      <c r="K76" s="5" t="inlineStr">
        <is>
          <t>Must be 24 V parts on the 21 V rail; a 12 V fan burns. Check the datasheet's minimum voltage too.</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inlineStr"/>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inlineStr"/>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inlineStr"/>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3/8-16 heat-set insert hole</t>
        </is>
      </c>
      <c r="C90" s="9" t="inlineStr">
        <is>
          <t>insert38_d</t>
        </is>
      </c>
      <c r="D90" s="9" t="n">
        <v>12.1</v>
      </c>
      <c r="E90" s="9" t="inlineStr">
        <is>
          <t>mm</t>
        </is>
      </c>
      <c r="F90" s="8" t="n"/>
      <c r="G90" s="10" t="n"/>
      <c r="H90" s="9">
        <f>IF(NOT(ISNUMBER(D90)),"",IF(ISNUMBER(G90),G90-D90,IF(ISNUMBER(F90),F90-D90,"")))</f>
        <v/>
      </c>
      <c r="I90" s="9" t="n">
        <v>0.1</v>
      </c>
      <c r="J90" s="11">
        <f>IF(OR(H90="",I90=""),"",IF(ABS(H90)&gt;I90,IF(ISNUMBER(G90),"UPDATE","UPDATE (spec)"),"ok"))</f>
        <v/>
      </c>
      <c r="K90" s="5" t="inlineStr">
        <is>
          <t>From the insert datasheet, then confirm on the fit coupon.</t>
        </is>
      </c>
    </row>
    <row r="91">
      <c r="A91" s="9" t="inlineStr">
        <is>
          <t>Inserts</t>
        </is>
      </c>
      <c r="B91" s="5" t="inlineStr">
        <is>
          <t>1/4-20 heat-set insert hole</t>
        </is>
      </c>
      <c r="C91" s="9" t="inlineStr">
        <is>
          <t>insert_d</t>
        </is>
      </c>
      <c r="D91" s="9" t="n">
        <v>8.199999999999999</v>
      </c>
      <c r="E91" s="9" t="inlineStr">
        <is>
          <t>mm</t>
        </is>
      </c>
      <c r="F91" s="8" t="n"/>
      <c r="G91" s="10" t="n"/>
      <c r="H91" s="9">
        <f>IF(NOT(ISNUMBER(D91)),"",IF(ISNUMBER(G91),G91-D91,IF(ISNUMBER(F91),F91-D91,"")))</f>
        <v/>
      </c>
      <c r="I91" s="9" t="n">
        <v>0.1</v>
      </c>
      <c r="J91" s="11">
        <f>IF(OR(H91="",I91=""),"",IF(ABS(H91)&gt;I91,IF(ISNUMBER(G91),"UPDATE","UPDATE (spec)"),"ok"))</f>
        <v/>
      </c>
      <c r="K91" s="5" t="inlineStr"/>
    </row>
    <row r="92">
      <c r="A92" s="9" t="inlineStr">
        <is>
          <t>Inserts</t>
        </is>
      </c>
      <c r="B92" s="5" t="inlineStr">
        <is>
          <t>M4 heat-set insert hole</t>
        </is>
      </c>
      <c r="C92" s="9" t="inlineStr">
        <is>
          <t>m4_insert_d</t>
        </is>
      </c>
      <c r="D92" s="9" t="n">
        <v>5.6</v>
      </c>
      <c r="E92" s="9" t="inlineStr">
        <is>
          <t>mm</t>
        </is>
      </c>
      <c r="F92" s="8" t="n"/>
      <c r="G92" s="10" t="n"/>
      <c r="H92" s="9">
        <f>IF(NOT(ISNUMBER(D92)),"",IF(ISNUMBER(G92),G92-D92,IF(ISNUMBER(F92),F92-D92,"")))</f>
        <v/>
      </c>
      <c r="I92" s="9" t="n">
        <v>0.1</v>
      </c>
      <c r="J92" s="11">
        <f>IF(OR(H92="",I92=""),"",IF(ABS(H92)&gt;I92,IF(ISNUMBER(G92),"UPDATE","UPDATE (spec)"),"ok"))</f>
        <v/>
      </c>
      <c r="K92" s="5" t="inlineStr"/>
    </row>
    <row r="93">
      <c r="A93" s="9" t="inlineStr">
        <is>
          <t>Inserts</t>
        </is>
      </c>
      <c r="B93" s="5" t="inlineStr">
        <is>
          <t>M3 heat-set insert hole</t>
        </is>
      </c>
      <c r="C93" s="9" t="inlineStr">
        <is>
          <t>m3_insert_d</t>
        </is>
      </c>
      <c r="D93" s="9" t="n">
        <v>4</v>
      </c>
      <c r="E93" s="9" t="inlineStr">
        <is>
          <t>mm</t>
        </is>
      </c>
      <c r="F93" s="8" t="n"/>
      <c r="G93" s="10" t="n"/>
      <c r="H93" s="9">
        <f>IF(NOT(ISNUMBER(D93)),"",IF(ISNUMBER(G93),G93-D93,IF(ISNUMBER(F93),F93-D93,"")))</f>
        <v/>
      </c>
      <c r="I93" s="9" t="n">
        <v>0.1</v>
      </c>
      <c r="J93" s="11">
        <f>IF(OR(H93="",I93=""),"",IF(ABS(H93)&gt;I93,IF(ISNUMBER(G93),"UPDATE","UPDATE (spec)"),"ok"))</f>
        <v/>
      </c>
      <c r="K93" s="5" t="inlineStr"/>
    </row>
    <row r="94">
      <c r="A94" s="9" t="inlineStr">
        <is>
          <t>Fit coupon</t>
        </is>
      </c>
      <c r="B94" s="5" t="inlineStr">
        <is>
          <t>General fit clearance</t>
        </is>
      </c>
      <c r="C94" s="9" t="inlineStr">
        <is>
          <t>clearance</t>
        </is>
      </c>
      <c r="D94" s="9" t="n">
        <v>0.3</v>
      </c>
      <c r="E94" s="9" t="inlineStr">
        <is>
          <t>mm</t>
        </is>
      </c>
      <c r="F94" s="8" t="n"/>
      <c r="G94" s="10" t="n"/>
      <c r="H94" s="9">
        <f>IF(NOT(ISNUMBER(D94)),"",IF(ISNUMBER(G94),G94-D94,IF(ISNUMBER(F94),F94-D94,"")))</f>
        <v/>
      </c>
      <c r="I94" s="9" t="n">
        <v>0.05</v>
      </c>
      <c r="J94" s="11">
        <f>IF(OR(H94="",I94=""),"",IF(ABS(H94)&gt;I94,IF(ISNUMBER(G94),"UPDATE","UPDATE (spec)"),"ok"))</f>
        <v/>
      </c>
      <c r="K94" s="5" t="inlineStr">
        <is>
          <t>Adjust after the coupon: keyhole, pane slot, screw pilots.</t>
        </is>
      </c>
    </row>
    <row r="95">
      <c r="A95" s="9" t="inlineStr">
        <is>
          <t>Site</t>
        </is>
      </c>
      <c r="B95" s="5" t="inlineStr">
        <is>
          <t>Distance from the case position to the projection surface</t>
        </is>
      </c>
      <c r="C95" s="9" t="n"/>
      <c r="D95" s="9" t="n"/>
      <c r="E95" s="9" t="inlineStr">
        <is>
          <t>mm</t>
        </is>
      </c>
      <c r="F95" s="8" t="n"/>
      <c r="G95" s="10" t="n"/>
      <c r="H95" s="9">
        <f>IF(NOT(ISNUMBER(D95)),"",IF(ISNUMBER(G95),G95-D95,IF(ISNUMBER(F95),F95-D95,"")))</f>
        <v/>
      </c>
      <c r="I95" s="9" t="n"/>
      <c r="J95" s="11">
        <f>IF(OR(H95="",I95=""),"",IF(ABS(H95)&gt;I95,IF(ISNUMBER(G95),"UPDATE","UPDATE (spec)"),"ok"))</f>
        <v/>
      </c>
      <c r="K95" s="5" t="inlineStr">
        <is>
          <t>Lens face to the surface, straight on, case where it will stand.</t>
        </is>
      </c>
    </row>
    <row r="96">
      <c r="A96" s="9" t="inlineStr">
        <is>
          <t>Site</t>
        </is>
      </c>
      <c r="B96" s="5" t="inlineStr">
        <is>
          <t>Projection surface: bottom edge height above ground</t>
        </is>
      </c>
      <c r="C96" s="9" t="n"/>
      <c r="D96" s="9" t="n"/>
      <c r="E96" s="9" t="inlineStr">
        <is>
          <t>mm</t>
        </is>
      </c>
      <c r="F96" s="8" t="n"/>
      <c r="G96" s="10" t="n"/>
      <c r="H96" s="9">
        <f>IF(NOT(ISNUMBER(D96)),"",IF(ISNUMBER(G96),G96-D96,IF(ISNUMBER(F96),F96-D96,"")))</f>
        <v/>
      </c>
      <c r="I96" s="9" t="n"/>
      <c r="J96" s="11">
        <f>IF(OR(H96="",I96=""),"",IF(ABS(H96)&gt;I96,IF(ISNUMBER(G96),"UPDATE","UPDATE (spec)"),"ok"))</f>
        <v/>
      </c>
      <c r="K96" s="5" t="inlineStr"/>
    </row>
    <row r="97">
      <c r="A97" s="9" t="inlineStr">
        <is>
          <t>Site</t>
        </is>
      </c>
      <c r="B97" s="5" t="inlineStr">
        <is>
          <t>Projection surface: top edge height above ground</t>
        </is>
      </c>
      <c r="C97" s="9" t="n"/>
      <c r="D97" s="9" t="n"/>
      <c r="E97" s="9" t="inlineStr">
        <is>
          <t>mm</t>
        </is>
      </c>
      <c r="F97" s="8" t="n"/>
      <c r="G97" s="10" t="n"/>
      <c r="H97" s="9">
        <f>IF(NOT(ISNUMBER(D97)),"",IF(ISNUMBER(G97),G97-D97,IF(ISNUMBER(F97),F97-D97,"")))</f>
        <v/>
      </c>
      <c r="I97" s="9" t="n"/>
      <c r="J97" s="11">
        <f>IF(OR(H97="",I97=""),"",IF(ABS(H97)&gt;I97,IF(ISNUMBER(G97),"UPDATE","UPDATE (spec)"),"ok"))</f>
        <v/>
      </c>
      <c r="K97" s="5" t="inlineStr"/>
    </row>
    <row r="98">
      <c r="A98" s="9" t="inlineStr">
        <is>
          <t>Site</t>
        </is>
      </c>
      <c r="B98" s="5" t="inlineStr">
        <is>
          <t>Projection surface width</t>
        </is>
      </c>
      <c r="C98" s="9" t="n"/>
      <c r="D98" s="9" t="n"/>
      <c r="E98" s="9" t="inlineStr">
        <is>
          <t>mm</t>
        </is>
      </c>
      <c r="F98" s="8" t="n"/>
      <c r="G98" s="10" t="n"/>
      <c r="H98" s="9">
        <f>IF(NOT(ISNUMBER(D98)),"",IF(ISNUMBER(G98),G98-D98,IF(ISNUMBER(F98),F98-D98,"")))</f>
        <v/>
      </c>
      <c r="I98" s="9" t="n"/>
      <c r="J98" s="11">
        <f>IF(OR(H98="",I98=""),"",IF(ABS(H98)&gt;I98,IF(ISNUMBER(G98),"UPDATE","UPDATE (spec)"),"ok"))</f>
        <v/>
      </c>
      <c r="K98" s="5" t="inlineStr">
        <is>
          <t>Compare with the computed image width below.</t>
        </is>
      </c>
    </row>
    <row r="99">
      <c r="A99" s="9" t="inlineStr">
        <is>
          <t>Site</t>
        </is>
      </c>
      <c r="B99" s="5" t="inlineStr">
        <is>
          <t>Lens height above ground, case on its feet</t>
        </is>
      </c>
      <c r="C99" s="9" t="inlineStr">
        <is>
          <t>(z_lens)</t>
        </is>
      </c>
      <c r="D99" s="9" t="n">
        <v>115</v>
      </c>
      <c r="E99" s="9" t="inlineStr">
        <is>
          <t>mm</t>
        </is>
      </c>
      <c r="F99" s="8" t="n"/>
      <c r="G99" s="10" t="n"/>
      <c r="H99" s="9">
        <f>IF(NOT(ISNUMBER(D99)),"",IF(ISNUMBER(G99),G99-D99,IF(ISNUMBER(F99),F99-D99,"")))</f>
        <v/>
      </c>
      <c r="I99" s="9" t="n">
        <v>5</v>
      </c>
      <c r="J99" s="11">
        <f>IF(OR(H99="",I99=""),"",IF(ABS(H99)&gt;I99,IF(ISNUMBER(G99),"UPDATE","UPDATE (spec)"),"ok"))</f>
        <v/>
      </c>
      <c r="K99" s="5" t="inlineStr">
        <is>
          <t>From the model: feet 6 + floor 6 + pedestal 30 + ball head 40 + lens_z 33. Measure it once assembled.</t>
        </is>
      </c>
    </row>
    <row r="100">
      <c r="A100" s="9" t="inlineStr">
        <is>
          <t>Site</t>
        </is>
      </c>
      <c r="B100" s="5" t="inlineStr">
        <is>
          <t>Image width at that distance</t>
        </is>
      </c>
      <c r="C100" s="9" t="n"/>
      <c r="D100" s="9" t="n"/>
      <c r="E100" s="9" t="inlineStr">
        <is>
          <t>mm</t>
        </is>
      </c>
      <c r="F100" s="8" t="n"/>
      <c r="G100" s="11">
        <f>IF(ISNUMBER(G95),ROUND(G95/IF(ISNUMBER(G38),G38,D38),0),"")</f>
        <v/>
      </c>
      <c r="H100" s="9">
        <f>IF(NOT(ISNUMBER(D100)),"",IF(ISNUMBER(G100),G100-D100,IF(ISNUMBER(F100),F100-D100,"")))</f>
        <v/>
      </c>
      <c r="I100" s="9" t="n"/>
      <c r="J100" s="11">
        <f>IF(OR(H100="",I100=""),"",IF(ABS(H100)&gt;I100,IF(ISNUMBER(G100),"UPDATE","UPDATE (spec)"),"ok"))</f>
        <v/>
      </c>
      <c r="K100" s="5" t="inlineStr">
        <is>
          <t>Computed: distance / throw ratio (measured if filled, else default). Do not type here.</t>
        </is>
      </c>
    </row>
    <row r="101">
      <c r="A101" s="9" t="inlineStr">
        <is>
          <t>Site</t>
        </is>
      </c>
      <c r="B101" s="5" t="inlineStr">
        <is>
          <t>Image centre height above ground</t>
        </is>
      </c>
      <c r="C101" s="9" t="n"/>
      <c r="D101" s="9" t="n"/>
      <c r="E101" s="9" t="inlineStr">
        <is>
          <t>mm</t>
        </is>
      </c>
      <c r="F101" s="8" t="n"/>
      <c r="G101" s="11">
        <f>IF(AND(ISNUMBER(G96),ISNUMBER(G97)),(G96+G97)/2,"")</f>
        <v/>
      </c>
      <c r="H101" s="9">
        <f>IF(NOT(ISNUMBER(D101)),"",IF(ISNUMBER(G101),G101-D101,IF(ISNUMBER(F101),F101-D101,"")))</f>
        <v/>
      </c>
      <c r="I101" s="9" t="n"/>
      <c r="J101" s="11">
        <f>IF(OR(H101="",I101=""),"",IF(ABS(H101)&gt;I101,IF(ISNUMBER(G101),"UPDATE","UPDATE (spec)"),"ok"))</f>
        <v/>
      </c>
      <c r="K101" s="5" t="inlineStr">
        <is>
          <t>Computed from the two edge heights. Do not type here.</t>
        </is>
      </c>
    </row>
    <row r="102">
      <c r="A102" s="9" t="inlineStr">
        <is>
          <t>Site</t>
        </is>
      </c>
      <c r="B102" s="5" t="inlineStr">
        <is>
          <t>Tilt needed to centre the image</t>
        </is>
      </c>
      <c r="C102" s="9" t="inlineStr">
        <is>
          <t>cone_tilt</t>
        </is>
      </c>
      <c r="D102" s="9" t="n">
        <v>12</v>
      </c>
      <c r="E102" s="9" t="inlineStr">
        <is>
          <t>deg</t>
        </is>
      </c>
      <c r="F102" s="8" t="n"/>
      <c r="G102" s="11">
        <f>IF(AND(ISNUMBER(G95),ISNUMBER(G101),G95&gt;0),ROUND(DEGREES(ATAN((G101-IF(ISNUMBER(G99),G99,D99))/G95)),1),"")</f>
        <v/>
      </c>
      <c r="H102" s="9">
        <f>IF(ISNUMBER(G102),G102-D102,"")</f>
        <v/>
      </c>
      <c r="I102" s="9" t="n"/>
      <c r="J102" s="11">
        <f>IF(NOT(ISNUMBER(G102)),"",IF(OR(G102&gt;D102,G102&lt;-15),"OVER LIMIT","ok"))</f>
        <v/>
      </c>
      <c r="K102" s="5" t="inlineStr">
        <is>
          <t>Computed. Limit is cone_tilt (12) up and aim_max (15) down before the light cone clips the visor or the body hits the head. OVER LIMIT means a riser, the tripod or a longer throw. Do not type here.</t>
        </is>
      </c>
    </row>
    <row r="103">
      <c r="A103" s="9" t="inlineStr">
        <is>
          <t>Site</t>
        </is>
      </c>
      <c r="B103" s="5" t="inlineStr">
        <is>
          <t>Ground slope at the case position</t>
        </is>
      </c>
      <c r="C103" s="9" t="n"/>
      <c r="D103" s="9" t="n"/>
      <c r="E103" s="9" t="inlineStr">
        <is>
          <t>deg</t>
        </is>
      </c>
      <c r="F103" s="8" t="n"/>
      <c r="G103" s="10" t="n"/>
      <c r="H103" s="9">
        <f>IF(NOT(ISNUMBER(D103)),"",IF(ISNUMBER(G103),G103-D103,IF(ISNUMBER(F103),F103-D103,"")))</f>
        <v/>
      </c>
      <c r="I103" s="9" t="n"/>
      <c r="J103" s="11">
        <f>IF(OR(H103="",I103=""),"",IF(ABS(H103)&gt;I103,IF(ISNUMBER(G103),"UPDATE","UPDATE (spec)"),"ok"))</f>
        <v/>
      </c>
      <c r="K103" s="5" t="inlineStr">
        <is>
          <t>Adds to the tilt. Shim the feet or use the tripod.</t>
        </is>
      </c>
    </row>
    <row r="104">
      <c r="A104" s="9" t="inlineStr">
        <is>
          <t>Site</t>
        </is>
      </c>
      <c r="B104" s="5" t="inlineStr">
        <is>
          <t>Distance from the case to where visitors first appear</t>
        </is>
      </c>
      <c r="C104" s="9" t="n"/>
      <c r="D104" s="9" t="n"/>
      <c r="E104" s="9" t="inlineStr">
        <is>
          <t>m</t>
        </is>
      </c>
      <c r="F104" s="8" t="n"/>
      <c r="G104" s="10" t="n"/>
      <c r="H104" s="9">
        <f>IF(NOT(ISNUMBER(D104)),"",IF(ISNUMBER(G104),G104-D104,IF(ISNUMBER(F104),F104-D104,"")))</f>
        <v/>
      </c>
      <c r="I104" s="9" t="n"/>
      <c r="J104" s="11">
        <f>IF(OR(H104="",I104=""),"",IF(ABS(H104)&gt;I104,IF(ISNUMBER(G104),"UPDATE","UPDATE (spec)"),"ok"))</f>
        <v/>
      </c>
      <c r="K104" s="5" t="inlineStr">
        <is>
          <t>HC-SR501 range is about 7 m. Sets the PIR sensitivity and whether the rear wall is the right face for it.</t>
        </is>
      </c>
    </row>
    <row r="105">
      <c r="A105" s="9" t="inlineStr">
        <is>
          <t>Site</t>
        </is>
      </c>
      <c r="B105" s="5" t="inlineStr">
        <is>
          <t>Distance from the case to the GFCI outlet</t>
        </is>
      </c>
      <c r="C105" s="9" t="n"/>
      <c r="D105" s="9" t="n"/>
      <c r="E105" s="9" t="inlineStr">
        <is>
          <t>m</t>
        </is>
      </c>
      <c r="F105" s="8" t="n"/>
      <c r="G105" s="10" t="n"/>
      <c r="H105" s="9">
        <f>IF(NOT(ISNUMBER(D105)),"",IF(ISNUMBER(G105),G105-D105,IF(ISNUMBER(F105),F105-D105,"")))</f>
        <v/>
      </c>
      <c r="I105" s="9" t="n"/>
      <c r="J105" s="11">
        <f>IF(OR(H105="",I105=""),"",IF(ABS(H105)&gt;I105,IF(ISNUMBER(G105),"UPDATE","UPDATE (spec)"),"ok"))</f>
        <v/>
      </c>
      <c r="K105" s="5" t="inlineStr">
        <is>
          <t>One AC cord, under a cord cover across any path. Sets its length.</t>
        </is>
      </c>
    </row>
    <row r="106">
      <c r="A106" s="9" t="inlineStr">
        <is>
          <t>Assembly</t>
        </is>
      </c>
      <c r="B106" s="5" t="inlineStr">
        <is>
          <t>Centre of mass behind the footprint centre (+ = rear)</t>
        </is>
      </c>
      <c r="C106" s="9" t="inlineStr">
        <is>
          <t>tripod_y</t>
        </is>
      </c>
      <c r="D106" s="9" t="n">
        <v>5</v>
      </c>
      <c r="E106" s="9" t="inlineStr">
        <is>
          <t>mm</t>
        </is>
      </c>
      <c r="F106" s="8" t="n"/>
      <c r="G106" s="10" t="n"/>
      <c r="H106" s="9">
        <f>IF(NOT(ISNUMBER(D106)),"",IF(ISNUMBER(G106),G106-D106,IF(ISNUMBER(F106),F106-D106,"")))</f>
        <v/>
      </c>
      <c r="I106" s="9" t="n">
        <v>5</v>
      </c>
      <c r="J106" s="11">
        <f>IF(OR(H106="",I106=""),"",IF(ABS(H106)&gt;I106,IF(ISNUMBER(G106),"UPDATE","UPDATE (spec)"),"ok"))</f>
        <v/>
      </c>
      <c r="K106" s="5" t="inlineStr">
        <is>
          <t>Loaded case, lid on: balance it on a rod across the feet, mark the line, measure from the footprint centre. Move tripod_y and reprint the base rear tile only if it moves more than the tolerance.</t>
        </is>
      </c>
    </row>
    <row r="107"/>
    <row r="108">
      <c r="A108" s="6" t="inlineStr">
        <is>
          <t>Parameters to update</t>
        </is>
      </c>
      <c r="B108" s="6">
        <f>COUNTIF(J7:J106,"UPDATE*")+COUNTIF(J7:J106,"OVER LIMIT")</f>
        <v/>
      </c>
      <c r="C108" s="6" t="inlineStr">
        <is>
          <t>Rows still blank</t>
        </is>
      </c>
      <c r="D108" s="6">
        <f>COUNTBLANK(G7:G106)</f>
        <v/>
      </c>
    </row>
    <row r="109"/>
    <row r="110">
      <c r="A110" s="6" t="inlineStr">
        <is>
          <t>Legend</t>
        </is>
      </c>
    </row>
    <row r="111">
      <c r="A111" s="2" t="inlineStr">
        <is>
          <t>Yellow cell</t>
        </is>
      </c>
      <c r="B111" s="4" t="inlineStr">
        <is>
          <t>Type your measurement here.</t>
        </is>
      </c>
    </row>
    <row r="112">
      <c r="A112" s="8" t="inlineStr">
        <is>
          <t>Green value</t>
        </is>
      </c>
      <c r="B112" s="4" t="inlineStr">
        <is>
          <t>From the Tkisko TO2 manual (manuals.plus, Oct 2022), its label and product photos. Confirm with calipers.</t>
        </is>
      </c>
    </row>
    <row r="113">
      <c r="A113" s="6" t="inlineStr">
        <is>
          <t>Bold value</t>
        </is>
      </c>
      <c r="B113" s="4" t="inlineStr">
        <is>
          <t>Computed by the sheet. Leave it alone.</t>
        </is>
      </c>
    </row>
    <row r="114">
      <c r="A114" t="inlineStr">
        <is>
          <t>Defaults and tolerances</t>
        </is>
      </c>
      <c r="B114" s="4" t="inlineStr">
        <is>
          <t>Taken from projector_pi_case.scad (v0.9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n"/>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Location not stated.</t>
        </is>
      </c>
      <c r="D7" s="10" t="n"/>
      <c r="E7" s="5" t="inlineStr">
        <is>
          <t>Design assumes the rear face (port_band).</t>
        </is>
      </c>
    </row>
    <row r="8">
      <c r="A8" s="9" t="inlineStr">
        <is>
          <t>Projector</t>
        </is>
      </c>
      <c r="B8" s="5" t="inlineStr">
        <is>
          <t>Plug types: right-angle or straight HDMI? Barrel plug size?</t>
        </is>
      </c>
      <c r="C8" s="8" t="inlineStr">
        <is>
          <t>HDMI cable included.</t>
        </is>
      </c>
      <c r="D8" s="10" t="n"/>
      <c r="E8" s="5" t="inlineStr">
        <is>
          <t>Straight HDMI needs about 40 mm of rear_gap.</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Locations not stated.</t>
        </is>
      </c>
      <c r="D10" s="10" t="n"/>
      <c r="E10" s="5" t="inlineStr">
        <is>
          <t>Louvers and the 40 mm fan should line up with them.</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t>
        </is>
      </c>
      <c r="D12" s="10" t="n"/>
      <c r="E12" s="5" t="inlineStr">
        <is>
          <t>ir_holder sticks on inside the case facing it; a front-face receiver sees nothing from inside.</t>
        </is>
      </c>
    </row>
    <row r="13">
      <c r="A13" s="9" t="inlineStr">
        <is>
          <t>Projector</t>
        </is>
      </c>
      <c r="B13" s="5" t="inlineStr">
        <is>
          <t>Which face holds each vent, and which way does the fan blow?</t>
        </is>
      </c>
      <c r="C13" s="8" t="inlineStr">
        <is>
          <t>Sealed optical engine; fan cooling.</t>
        </is>
      </c>
      <c r="D13" s="10" t="n"/>
      <c r="E13" s="5" t="inlineStr">
        <is>
          <t>Intake should see the floor slots and louvers; exhaust should see the right-wall fan.</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n"/>
      <c r="E22" s="5" t="inlineStr">
        <is>
          <t>Never guess: check the label.</t>
        </is>
      </c>
    </row>
    <row r="23">
      <c r="A23" s="9" t="inlineStr">
        <is>
          <t>DC brick</t>
        </is>
      </c>
      <c r="B23" s="5" t="inlineStr">
        <is>
          <t>AC inlet type (C7 / C5 / C13) or captive cord</t>
        </is>
      </c>
      <c r="C23" s="8" t="n"/>
      <c r="D23" s="10" t="n"/>
      <c r="E23" s="5" t="inlineStr"/>
    </row>
    <row r="24">
      <c r="A24" s="9" t="inlineStr">
        <is>
          <t>DC brick</t>
        </is>
      </c>
      <c r="B24" s="5" t="inlineStr">
        <is>
          <t>Can it run projector + Pi + Amp4 together at full volume?</t>
        </is>
      </c>
      <c r="C24" s="8" t="n"/>
      <c r="D24" s="10" t="n"/>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Amp4 leaves free</t>
        </is>
      </c>
      <c r="C27" s="8" t="n"/>
      <c r="D27" s="10" t="n"/>
      <c r="E27" s="5" t="inlineStr">
        <is>
          <t>Needed for PIR, DS18B20s, fan PWM and tach, relay.</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3/8-16 insert fit</t>
        </is>
      </c>
      <c r="C30" s="8" t="n"/>
      <c r="D30" s="10" t="n"/>
      <c r="E30" s="5" t="inlineStr">
        <is>
          <t>snug / loose / cracked</t>
        </is>
      </c>
    </row>
    <row r="31">
      <c r="A31" s="9" t="inlineStr">
        <is>
          <t>Fit coupon</t>
        </is>
      </c>
      <c r="B31" s="5" t="inlineStr">
        <is>
          <t>1/4-20 insert fit</t>
        </is>
      </c>
      <c r="C31" s="8" t="n"/>
      <c r="D31" s="10" t="n"/>
      <c r="E31" s="5" t="inlineStr">
        <is>
          <t>snug / loose / cracked</t>
        </is>
      </c>
    </row>
    <row r="32">
      <c r="A32" s="9" t="inlineStr">
        <is>
          <t>Fit coupon</t>
        </is>
      </c>
      <c r="B32" s="5" t="inlineStr">
        <is>
          <t>M4 insert fit</t>
        </is>
      </c>
      <c r="C32" s="8" t="n"/>
      <c r="D32" s="10" t="n"/>
      <c r="E32" s="5" t="inlineStr">
        <is>
          <t>snug / loose / cracked</t>
        </is>
      </c>
    </row>
    <row r="33">
      <c r="A33" s="9" t="inlineStr">
        <is>
          <t>Fit coupon</t>
        </is>
      </c>
      <c r="B33" s="5" t="inlineStr">
        <is>
          <t>M3 insert fit</t>
        </is>
      </c>
      <c r="C33" s="8" t="n"/>
      <c r="D33" s="10" t="n"/>
      <c r="E33" s="5" t="inlineStr">
        <is>
          <t>snug / loose / cracked</t>
        </is>
      </c>
    </row>
    <row r="34">
      <c r="A34" s="9" t="inlineStr">
        <is>
          <t>Fit coupon</t>
        </is>
      </c>
      <c r="B34" s="5" t="inlineStr">
        <is>
          <t>M3 / M2.5 / M2 screws in the pilots</t>
        </is>
      </c>
      <c r="C34" s="8" t="n"/>
      <c r="D34" s="10" t="n"/>
      <c r="E34" s="5" t="inlineStr">
        <is>
          <t>bite / strip / split</t>
        </is>
      </c>
    </row>
    <row r="35">
      <c r="A35" s="9" t="inlineStr">
        <is>
          <t>Fit coupon</t>
        </is>
      </c>
      <c r="B35" s="5" t="inlineStr">
        <is>
          <t>M4 bolt in the keyhole: slides and seats?</t>
        </is>
      </c>
      <c r="C35" s="8" t="n"/>
      <c r="D35" s="10" t="n"/>
      <c r="E35" s="5" t="inlineStr"/>
    </row>
    <row r="36">
      <c r="A36" s="9" t="inlineStr">
        <is>
          <t>Fit coupon</t>
        </is>
      </c>
      <c r="B36" s="5" t="inlineStr">
        <is>
          <t>Acrylic in the slot: snug, no rattle?</t>
        </is>
      </c>
      <c r="C36" s="8" t="n"/>
      <c r="D36" s="10" t="n"/>
      <c r="E3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2026-10-06T03:25:11Z</dcterms:modified>
</cp:coreProperties>
</file>