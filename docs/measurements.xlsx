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easurements" sheetId="1" r:id="rId1"/>
    <sheet name="Observations" sheetId="2" r:id="rId2"/>
  </sheets>
</workbook>
</file>

<file path=xl/sharedStrings.xml><?xml version="1.0" encoding="utf-8"?>
<sst xmlns="http://schemas.openxmlformats.org/spreadsheetml/2006/main" count="215" uniqueCount="215">
  <si>
    <t xml:space="preserve">AtmosFX projector case: hardware measurements</t>
  </si>
  <si>
    <t xml:space="preserve">Fill in the yellow cells only. Default = current value in projector_pi_case.scad. Spec = what the Tkisko TO2 manual (manuals.plus, Oct 2022), its label and product photos says, in green; it is a manufacturer figure, not a measurement, so Measured overrides it. Flag says UPDATE when |Delta| is over the tolerance ('UPDATE (spec)' when only the manual disagrees): change that parameter, then run scripts/check_clash.sh and make parts. Rows without a parameter are context for the next step.</t>
  </si>
  <si>
    <t xml:space="preserve">Date measured</t>
  </si>
  <si>
    <t xml:space="preserve">Projector</t>
  </si>
  <si>
    <t xml:space="preserve">Tkisko TO2 (model C11)</t>
  </si>
  <si>
    <t xml:space="preserve">Group</t>
  </si>
  <si>
    <t xml:space="preserve">Measurement</t>
  </si>
  <si>
    <t xml:space="preserve">Parameter</t>
  </si>
  <si>
    <t xml:space="preserve">Default</t>
  </si>
  <si>
    <t xml:space="preserve">Unit</t>
  </si>
  <si>
    <t xml:space="preserve">Spec (manual)</t>
  </si>
  <si>
    <t xml:space="preserve">Measured</t>
  </si>
  <si>
    <t xml:space="preserve">Delta</t>
  </si>
  <si>
    <t xml:space="preserve">Tolerance</t>
  </si>
  <si>
    <t xml:space="preserve">Flag</t>
  </si>
  <si>
    <t xml:space="preserve">How to measure / notes</t>
  </si>
  <si>
    <t xml:space="preserve">EXAMPLE</t>
  </si>
  <si>
    <t xml:space="preserve">Example: width measured 137.5 against a default of 135</t>
  </si>
  <si>
    <t xml:space="preserve">proj_w</t>
  </si>
  <si>
    <t xml:space="preserve">mm</t>
  </si>
  <si>
    <t xml:space="preserve">Delete this row once you start. It only shows the expected format.</t>
  </si>
  <si>
    <t xml:space="preserve">Width (X, across the front)</t>
  </si>
  <si>
    <t xml:space="preserve">Manual: 6.5 x 5 x 2.6 in (spec table says 6 x 5 x 2.5); lens is on the 6.5 in face (owner). Measure: the base is 231 wide with the hood, on a 250 mm axis.</t>
  </si>
  <si>
    <t xml:space="preserve">Depth (Y, lens face to rear face)</t>
  </si>
  <si>
    <t xml:space="preserve">proj_d</t>
  </si>
  <si>
    <t xml:space="preserve">Measured 130.0 with calipers (photo). base_front is 207 on the 210 mm bed axis, so this cannot grow.</t>
  </si>
  <si>
    <t xml:space="preserve">Height (Z, underside to top)</t>
  </si>
  <si>
    <t xml:space="preserve">proj_h</t>
  </si>
  <si>
    <t xml:space="preserve">Underside sits on the ball head plate. Manual: 2.6 in.</t>
  </si>
  <si>
    <t xml:space="preserve">Lens centre height above underside</t>
  </si>
  <si>
    <t xml:space="preserve">lens_z</t>
  </si>
  <si>
    <t xml:space="preserve">Centre of the lens, not the bezel. Spec is scaled off the product photo.</t>
  </si>
  <si>
    <t xml:space="preserve">Lens offset from body centre (+ = right, viewed from front)</t>
  </si>
  <si>
    <t xml:space="preserve">lens_x</t>
  </si>
  <si>
    <t xml:space="preserve">Lens is in the left lobe. Spec is scaled off the product photo; the window frame follows this value.</t>
  </si>
  <si>
    <t xml:space="preserve">1/4-20 socket offset from centre, X (+ = right)</t>
  </si>
  <si>
    <t xml:space="preserve">mount_x</t>
  </si>
  <si>
    <t xml:space="preserve">Brass insert in the right lobe (underside photo). Spec is scaled off the photo; measure from the body centre.</t>
  </si>
  <si>
    <t xml:space="preserve">1/4-20 socket offset from centre, Y (+ = toward rear)</t>
  </si>
  <si>
    <t xml:space="preserve">mount_y</t>
  </si>
  <si>
    <t xml:space="preserve">Slightly forward of centre in the underside photo.</t>
  </si>
  <si>
    <t xml:space="preserve">1/4-20 socket recess depth</t>
  </si>
  <si>
    <t xml:space="preserve">How far the stud must reach. Compare with the ball head stud length.</t>
  </si>
  <si>
    <t xml:space="preserve">Lowest plug edge above underside</t>
  </si>
  <si>
    <t xml:space="preserve">port_band[0]</t>
  </si>
  <si>
    <t xml:space="preserve">With the HDMI and power plugs fitted.</t>
  </si>
  <si>
    <t xml:space="preserve">Highest plug edge above underside</t>
  </si>
  <si>
    <t xml:space="preserve">port_band[1]</t>
  </si>
  <si>
    <t xml:space="preserve"/>
  </si>
  <si>
    <t xml:space="preserve">Plug protrusion behind the rear face</t>
  </si>
  <si>
    <t xml:space="preserve">port_depth</t>
  </si>
  <si>
    <t xml:space="preserve">Plugs fitted, cable bent the way it will run. A straight HDMI plug is about 40.</t>
  </si>
  <si>
    <t xml:space="preserve">Weight</t>
  </si>
  <si>
    <t xml:space="preserve">(tripod_y centroid)</t>
  </si>
  <si>
    <t xml:space="preserve">g</t>
  </si>
  <si>
    <t xml:space="preserve">Manual: 1 lb (its spec table says 25 lb, a typo). Kitchen scale.</t>
  </si>
  <si>
    <t xml:space="preserve">Aspect ratio (width / height)</t>
  </si>
  <si>
    <t xml:space="preserve">aspect</t>
  </si>
  <si>
    <t xml:space="preserve">Manual: native 1280 x 720, so 16:9.</t>
  </si>
  <si>
    <t xml:space="preserve">Throw distance to wall (helper)</t>
  </si>
  <si>
    <t xml:space="preserve">Lens face to wall, projector level.</t>
  </si>
  <si>
    <t xml:space="preserve">Image width at that distance (helper)</t>
  </si>
  <si>
    <t xml:space="preserve">Throw ratio</t>
  </si>
  <si>
    <t xml:space="preserve">throw_ratio</t>
  </si>
  <si>
    <t xml:space="preserve">Spec is derived from the manual's image sizes (36 in at 2.5 ft, 72 in at 5 ft, 150 in at 10 ft: 0.92 to 0.96; 250 in at 16 ft gives 0.88). Measured is computed from the two helper rows above. Do not type here.</t>
  </si>
  <si>
    <t xml:space="preserve">Image height at that distance (helper)</t>
  </si>
  <si>
    <t xml:space="preserve">Image bottom edge above lens axis (helper, negative if below)</t>
  </si>
  <si>
    <t xml:space="preserve">Lens axis = lens centre height on the wall, projector level.</t>
  </si>
  <si>
    <t xml:space="preserve">Lens offset (0 = centred on axis, 1 = bottom on axis)</t>
  </si>
  <si>
    <t xml:space="preserve">lens_offset</t>
  </si>
  <si>
    <t xml:space="preserve">Computed: 2 x bottom / height + 1. Do not type here.</t>
  </si>
  <si>
    <t xml:space="preserve">Power draw</t>
  </si>
  <si>
    <t xml:space="preserve">W</t>
  </si>
  <si>
    <t xml:space="preserve">Manual: 50 W. Sizes the brick and the DC fuse.</t>
  </si>
  <si>
    <t xml:space="preserve">Ball head</t>
  </si>
  <si>
    <t xml:space="preserve">Height, base to top of stud, head level</t>
  </si>
  <si>
    <t xml:space="preserve">ball_head_h</t>
  </si>
  <si>
    <t xml:space="preserve">Ball centre above base</t>
  </si>
  <si>
    <t xml:space="preserve">pivot_h</t>
  </si>
  <si>
    <t xml:space="preserve">The aim pivot.</t>
  </si>
  <si>
    <t xml:space="preserve">Base diameter</t>
  </si>
  <si>
    <t xml:space="preserve">Must sit on the 40 mm pedestal top.</t>
  </si>
  <si>
    <t xml:space="preserve">Lock knob height above base</t>
  </si>
  <si>
    <t xml:space="preserve">Hatch centre is hatch_zc (62) above the floor; pedestal top is 30. Knob must land in the diamond.</t>
  </si>
  <si>
    <t xml:space="preserve">Tilt before the projector body hits the head</t>
  </si>
  <si>
    <t xml:space="preserve">aim_max</t>
  </si>
  <si>
    <t xml:space="preserve">deg</t>
  </si>
  <si>
    <t xml:space="preserve">Projector mounted, tilt until it touches.</t>
  </si>
  <si>
    <t xml:space="preserve">DC brick</t>
  </si>
  <si>
    <t xml:space="preserve">Length</t>
  </si>
  <si>
    <t xml:space="preserve">brick_l</t>
  </si>
  <si>
    <t xml:space="preserve">Only if the projector uses an external brick. See Observations.</t>
  </si>
  <si>
    <t xml:space="preserve">Width</t>
  </si>
  <si>
    <t xml:space="preserve">brick_w</t>
  </si>
  <si>
    <t xml:space="preserve">Height</t>
  </si>
  <si>
    <t xml:space="preserve">brick_h</t>
  </si>
  <si>
    <t xml:space="preserve">Output voltage</t>
  </si>
  <si>
    <t xml:space="preserve">V</t>
  </si>
  <si>
    <t xml:space="preserve">Projector label reads DC 21 V (confirm with a meter). Amp4 takes 12-24 V; fans must be 24 V parts.</t>
  </si>
  <si>
    <t xml:space="preserve">Output current</t>
  </si>
  <si>
    <t xml:space="preserve">A</t>
  </si>
  <si>
    <t xml:space="preserve">Projector label: 3000 mA, so the stock brick covers the projector alone. A brick for everything needs 5 A or more. Sizes the DC fuse.</t>
  </si>
  <si>
    <t xml:space="preserve">Input current</t>
  </si>
  <si>
    <t xml:space="preserve">Sizes the AC fuse. Manual: 110 V.</t>
  </si>
  <si>
    <t xml:space="preserve">AC cord outer diameter</t>
  </si>
  <si>
    <t xml:space="preserve">(gland_d)</t>
  </si>
  <si>
    <t xml:space="preserve">Must be inside the PG9 cord grip's clamp range.</t>
  </si>
  <si>
    <t xml:space="preserve">Pi stack</t>
  </si>
  <si>
    <t xml:space="preserve">Pi 3/4: board bottom to top of Amp4</t>
  </si>
  <si>
    <t xml:space="preserve">pi_stack_h</t>
  </si>
  <si>
    <t xml:space="preserve">Only the sled you will use.</t>
  </si>
  <si>
    <t xml:space="preserve">Pi 5 + Active Cooler: board bottom to top of Amp4</t>
  </si>
  <si>
    <t xml:space="preserve">pi5_stack_h</t>
  </si>
  <si>
    <t xml:space="preserve">Zero 2 W: board bottom to top of Amp4</t>
  </si>
  <si>
    <t xml:space="preserve">zero_stack_h</t>
  </si>
  <si>
    <t xml:space="preserve">Zero 2 W: HAT underside above board bottom</t>
  </si>
  <si>
    <t xml:space="preserve">zero_hat_z</t>
  </si>
  <si>
    <t xml:space="preserve">Sets the HAT support posts.</t>
  </si>
  <si>
    <t xml:space="preserve">PIR</t>
  </si>
  <si>
    <t xml:space="preserve">Dome diameter</t>
  </si>
  <si>
    <t xml:space="preserve">pir_dome_d</t>
  </si>
  <si>
    <t xml:space="preserve">Mounting hole spacing</t>
  </si>
  <si>
    <t xml:space="preserve">pir_hole_sp</t>
  </si>
  <si>
    <t xml:space="preserve">Centre to centre.</t>
  </si>
  <si>
    <t xml:space="preserve">Lens frame thickness</t>
  </si>
  <si>
    <t xml:space="preserve">pir_stand</t>
  </si>
  <si>
    <t xml:space="preserve">Board face to dome base.</t>
  </si>
  <si>
    <t xml:space="preserve">Window</t>
  </si>
  <si>
    <t xml:space="preserve">Pane width</t>
  </si>
  <si>
    <t xml:space="preserve">pane_w</t>
  </si>
  <si>
    <t xml:space="preserve">4 x 5 in stock pane.</t>
  </si>
  <si>
    <t xml:space="preserve">Pane height</t>
  </si>
  <si>
    <t xml:space="preserve">pane_h</t>
  </si>
  <si>
    <t xml:space="preserve">Pane thickness</t>
  </si>
  <si>
    <t xml:space="preserve">pane_t</t>
  </si>
  <si>
    <t xml:space="preserve">Photo-frame glazing is often thinner.</t>
  </si>
  <si>
    <t xml:space="preserve">Inserts</t>
  </si>
  <si>
    <t xml:space="preserve">3/8-16 heat-set insert hole</t>
  </si>
  <si>
    <t xml:space="preserve">insert38_d</t>
  </si>
  <si>
    <t xml:space="preserve">From the insert datasheet, then confirm on the fit coupon.</t>
  </si>
  <si>
    <t xml:space="preserve">1/4-20 heat-set insert hole</t>
  </si>
  <si>
    <t xml:space="preserve">insert_d</t>
  </si>
  <si>
    <t xml:space="preserve">M4 heat-set insert hole</t>
  </si>
  <si>
    <t xml:space="preserve">m4_insert_d</t>
  </si>
  <si>
    <t xml:space="preserve">M3 heat-set insert hole</t>
  </si>
  <si>
    <t xml:space="preserve">m3_insert_d</t>
  </si>
  <si>
    <t xml:space="preserve">Fit coupon</t>
  </si>
  <si>
    <t xml:space="preserve">General fit clearance</t>
  </si>
  <si>
    <t xml:space="preserve">clearance</t>
  </si>
  <si>
    <t xml:space="preserve">Adjust after the coupon: keyhole, pane slot, screw pilots.</t>
  </si>
  <si>
    <t xml:space="preserve">Parameters to update</t>
  </si>
  <si>
    <t xml:space="preserve">Rows still blank</t>
  </si>
  <si>
    <t xml:space="preserve">Legend</t>
  </si>
  <si>
    <t xml:space="preserve">Yellow cell</t>
  </si>
  <si>
    <t xml:space="preserve">Type your measurement here.</t>
  </si>
  <si>
    <t xml:space="preserve">Green value</t>
  </si>
  <si>
    <t xml:space="preserve">From the Tkisko TO2 manual (manuals.plus, Oct 2022), its label and product photos. Confirm with calipers.</t>
  </si>
  <si>
    <t xml:space="preserve">Bold value</t>
  </si>
  <si>
    <t xml:space="preserve">Computed by the sheet. Leave it alone.</t>
  </si>
  <si>
    <t xml:space="preserve">Defaults and tolerances</t>
  </si>
  <si>
    <t xml:space="preserve">Taken from projector_pi_case.scad (v0.9 draft) and docs/BRINGUP.md. The weight default (720 g) is an assumption from the design log, not a measurement.</t>
  </si>
  <si>
    <t xml:space="preserve">Observations (not numbers)</t>
  </si>
  <si>
    <t xml:space="preserve">Things to check that are not a single dimension. Fill in the yellow cells. Green is what the Tkisko TO2 manual (manuals.plus, Oct 2022), its label and product photos says.</t>
  </si>
  <si>
    <t xml:space="preserve">Question</t>
  </si>
  <si>
    <t xml:space="preserve">Manual / label says</t>
  </si>
  <si>
    <t xml:space="preserve">Answer</t>
  </si>
  <si>
    <t xml:space="preserve">Why it matters</t>
  </si>
  <si>
    <t xml:space="preserve">Does it have an external DC brick with a barrel plug, or does the AC cord go straight into the body?</t>
  </si>
  <si>
    <t xml:space="preserve">Label: Power Input DC 21 V 3000 mA, so an external brick. Manual: 110 V, 50 W.</t>
  </si>
  <si>
    <t xml:space="preserve">The power shelf, relay and DC fuse assume an external brick. A built-in supply changes the wiring plan.</t>
  </si>
  <si>
    <t xml:space="preserve">Which face holds the lens: the 6.5 in side or the 5 in side?</t>
  </si>
  <si>
    <t xml:space="preserve">Owner: the 6.5 in face (set in the model).</t>
  </si>
  <si>
    <t xml:space="preserve">Sets proj_w vs proj_d. Lens on the long face pushes the base past the 210 mm bed axis.</t>
  </si>
  <si>
    <t xml:space="preserve">Where are the HDMI and power ports? (rear / left / right / top)</t>
  </si>
  <si>
    <t xml:space="preserve">Ports: HDMI, USB, AV, 3.5 mm audio. Location not stated.</t>
  </si>
  <si>
    <t xml:space="preserve">Design assumes the rear face (port_band).</t>
  </si>
  <si>
    <t xml:space="preserve">Plug types: right-angle or straight HDMI? Barrel plug size?</t>
  </si>
  <si>
    <t xml:space="preserve">HDMI cable included.</t>
  </si>
  <si>
    <t xml:space="preserve">Straight HDMI needs about 40 mm of rear_gap.</t>
  </si>
  <si>
    <t xml:space="preserve">Where are the air intake and exhaust vents?</t>
  </si>
  <si>
    <t xml:space="preserve">Sealed optical engine; fan cooling. Locations not stated.</t>
  </si>
  <si>
    <t xml:space="preserve">Louvers and the 40 mm fan should line up with them.</t>
  </si>
  <si>
    <t xml:space="preserve">Is the 1/4-20 socket metal and is it centred under the lens?</t>
  </si>
  <si>
    <t xml:space="preserve">Underside photo: brass insert in the right lobe, 19 mm right of centre, with a small slot beside it.</t>
  </si>
  <si>
    <t xml:space="preserve">A plastic socket may need a plate.</t>
  </si>
  <si>
    <t xml:space="preserve">Does HDMI-CEC power it on and off from the Pi?</t>
  </si>
  <si>
    <t xml:space="preserve">Not mentioned.</t>
  </si>
  <si>
    <t xml:space="preserve">If not, use the relay + IR fallback.</t>
  </si>
  <si>
    <t xml:space="preserve">IR remote power code (if the fallback is needed)</t>
  </si>
  <si>
    <t xml:space="preserve">Remote included.</t>
  </si>
  <si>
    <t xml:space="preserve">Learned with the Pi.</t>
  </si>
  <si>
    <t xml:space="preserve">Does it keep the last input and auto-start on power?</t>
  </si>
  <si>
    <t xml:space="preserve">Needed for the relay fallback to work unattended.</t>
  </si>
  <si>
    <t xml:space="preserve">Make and model</t>
  </si>
  <si>
    <t xml:space="preserve">Which way does the lock knob face when the stud points at the window?</t>
  </si>
  <si>
    <t xml:space="preserve">Must be reachable through the hatch.</t>
  </si>
  <si>
    <t xml:space="preserve">Polarity of the barrel plug (centre + or centre -)</t>
  </si>
  <si>
    <t xml:space="preserve">Never guess: check the label.</t>
  </si>
  <si>
    <t xml:space="preserve">AC inlet type (C7 / C5 / C13) or captive cord</t>
  </si>
  <si>
    <t xml:space="preserve">Can it run projector + Pi + Amp4 together at full volume?</t>
  </si>
  <si>
    <t xml:space="preserve">Bench test; watch for undervoltage.</t>
  </si>
  <si>
    <t xml:space="preserve">Pi</t>
  </si>
  <si>
    <t xml:space="preserve">Which Pi generation and sled</t>
  </si>
  <si>
    <t xml:space="preserve">pi3 / pi4 / pi5 / zero2w</t>
  </si>
  <si>
    <t xml:space="preserve">GPIOs the Amp4 leaves free</t>
  </si>
  <si>
    <t xml:space="preserve">Needed for PIR, DS18B20s, fan PWM and tach, relay.</t>
  </si>
  <si>
    <t xml:space="preserve">3/8-16 insert fit</t>
  </si>
  <si>
    <t xml:space="preserve">snug / loose / cracked</t>
  </si>
  <si>
    <t xml:space="preserve">1/4-20 insert fit</t>
  </si>
  <si>
    <t xml:space="preserve">M4 insert fit</t>
  </si>
  <si>
    <t xml:space="preserve">M3 insert fit</t>
  </si>
  <si>
    <t xml:space="preserve">M3 / M2.5 / M2 screws in the pilots</t>
  </si>
  <si>
    <t xml:space="preserve">bite / strip / split</t>
  </si>
  <si>
    <t xml:space="preserve">M4 bolt in the keyhole: slides and seats?</t>
  </si>
  <si>
    <t xml:space="preserve">Acrylic in the slot: snug, no rattle?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</si>
</sst>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b/>
      <sz val="10"/>
      <name val="Arial"/>
    </font>
    <font>
      <sz val="10"/>
      <color rgb="FF0000FF"/>
      <name val="Arial"/>
    </font>
    <font>
      <b/>
      <sz val="14"/>
      <name val="Arial"/>
    </font>
    <font>
      <i/>
      <sz val="10"/>
      <color rgb="FF666666"/>
      <name val="Arial"/>
    </font>
    <font>
      <sz val="10"/>
      <color rgb="FF008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E0E0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 applyAlignment="1">
      <alignment wrapText="1" vertical="top"/>
    </xf>
    <xf numFmtId="0" fontId="0" fillId="0" borderId="0" xfId="0" applyAlignment="1">
      <alignment wrapText="1" vertical="top"/>
    </xf>
    <xf numFmtId="0" fontId="1" fillId="0" borderId="0" xfId="0" applyFont="1"/>
    <xf numFmtId="0" fontId="1" fillId="3" borderId="0" xfId="0" applyFont="1" applyFill="1"/>
    <xf numFmtId="0" fontId="5" fillId="0" borderId="0" xfId="0" applyFont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workbookViewId="0" tabSelected="1">
      <pane ySplit="5" topLeftCell="A6" activePane="bottomLeft" state="frozen"/>
    </sheetView>
  </sheetViews>
  <sheetFormatPr defaultRowHeight="15"/>
  <cols>
    <col min="1" max="1" width="12" customWidth="1"/>
    <col min="2" max="2" width="48" customWidth="1"/>
    <col min="3" max="3" width="16" customWidth="1"/>
    <col min="4" max="4" width="9" customWidth="1"/>
    <col min="5" max="5" width="6" customWidth="1"/>
    <col min="6" max="6" width="11" customWidth="1"/>
    <col min="7" max="7" width="11" customWidth="1"/>
    <col min="8" max="8" width="8" customWidth="1"/>
    <col min="9" max="9" width="10" customWidth="1"/>
    <col min="10" max="10" width="14" customWidth="1"/>
    <col min="11" max="11" width="60" customWidth="1"/>
  </cols>
  <sheetData>
    <row r="1">
      <c r="A1" s="3" t="s">
        <v>0</v>
      </c>
    </row>
    <row r="2">
      <c r="A2" s="4" t="s">
        <v>1</v>
      </c>
    </row>
    <row r="3">
      <c r="A3" s="1" t="s">
        <v>2</v>
      </c>
      <c r="B3" s="2"/>
      <c r="C3" s="1" t="s">
        <v>3</v>
      </c>
      <c r="D3" s="8" t="s">
        <v>4</v>
      </c>
    </row>
    <row r="5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</row>
    <row r="6">
      <c r="A6" s="4" t="s">
        <v>16</v>
      </c>
      <c r="B6" s="4" t="s">
        <v>17</v>
      </c>
      <c r="C6" s="4" t="s">
        <v>18</v>
      </c>
      <c r="D6" s="0">
        <v>135</v>
      </c>
      <c r="E6" s="0" t="s">
        <v>19</v>
      </c>
      <c r="F6" s="8">
        <v>165</v>
      </c>
      <c r="G6" s="2">
        <v>137.5</v>
      </c>
      <c r="H6" s="0">
        <f>IF(NOT(ISNUMBER(D6)),"",IF(ISNUMBER(G6),G6-D6,IF(ISNUMBER(F6),F6-D6,"")))</f>
      </c>
      <c r="I6" s="0">
        <v>1</v>
      </c>
      <c r="J6" s="6">
        <f>IF(OR(H6="",I6=""),"",IF(ABS(H6)&gt;I6,IF(ISNUMBER(G6),"UPDATE","UPDATE (spec)"),"ok"))</f>
      </c>
      <c r="K6" s="4" t="s">
        <v>20</v>
      </c>
    </row>
    <row r="7">
      <c r="A7" s="0" t="s">
        <v>3</v>
      </c>
      <c r="B7" s="5" t="s">
        <v>21</v>
      </c>
      <c r="C7" s="0" t="s">
        <v>18</v>
      </c>
      <c r="D7" s="0">
        <v>165</v>
      </c>
      <c r="E7" s="0" t="s">
        <v>19</v>
      </c>
      <c r="F7" s="8">
        <v>165</v>
      </c>
      <c r="G7" s="2"/>
      <c r="H7" s="0">
        <f>IF(NOT(ISNUMBER(D7)),"",IF(ISNUMBER(G7),G7-D7,IF(ISNUMBER(F7),F7-D7,"")))</f>
      </c>
      <c r="I7" s="0">
        <v>1</v>
      </c>
      <c r="J7" s="6">
        <f>IF(OR(H7="",I7=""),"",IF(ABS(H7)&gt;I7,IF(ISNUMBER(G7),"UPDATE","UPDATE (spec)"),"ok"))</f>
      </c>
      <c r="K7" s="5" t="s">
        <v>22</v>
      </c>
    </row>
    <row r="8">
      <c r="A8" s="0" t="s">
        <v>3</v>
      </c>
      <c r="B8" s="5" t="s">
        <v>23</v>
      </c>
      <c r="C8" s="0" t="s">
        <v>24</v>
      </c>
      <c r="D8" s="0">
        <v>130</v>
      </c>
      <c r="E8" s="0" t="s">
        <v>19</v>
      </c>
      <c r="F8" s="8">
        <v>127</v>
      </c>
      <c r="G8" s="2">
        <v>130.0</v>
      </c>
      <c r="H8" s="0">
        <f>IF(NOT(ISNUMBER(D8)),"",IF(ISNUMBER(G8),G8-D8,IF(ISNUMBER(F8),F8-D8,"")))</f>
      </c>
      <c r="I8" s="0">
        <v>1</v>
      </c>
      <c r="J8" s="6">
        <f>IF(OR(H8="",I8=""),"",IF(ABS(H8)&gt;I8,IF(ISNUMBER(G8),"UPDATE","UPDATE (spec)"),"ok"))</f>
      </c>
      <c r="K8" s="5" t="s">
        <v>25</v>
      </c>
    </row>
    <row r="9">
      <c r="A9" s="0" t="s">
        <v>3</v>
      </c>
      <c r="B9" s="5" t="s">
        <v>26</v>
      </c>
      <c r="C9" s="0" t="s">
        <v>27</v>
      </c>
      <c r="D9" s="0">
        <v>66</v>
      </c>
      <c r="E9" s="0" t="s">
        <v>19</v>
      </c>
      <c r="F9" s="8">
        <v>66</v>
      </c>
      <c r="G9" s="2"/>
      <c r="H9" s="0">
        <f>IF(NOT(ISNUMBER(D9)),"",IF(ISNUMBER(G9),G9-D9,IF(ISNUMBER(F9),F9-D9,"")))</f>
      </c>
      <c r="I9" s="0">
        <v>1</v>
      </c>
      <c r="J9" s="6">
        <f>IF(OR(H9="",I9=""),"",IF(ABS(H9)&gt;I9,IF(ISNUMBER(G9),"UPDATE","UPDATE (spec)"),"ok"))</f>
      </c>
      <c r="K9" s="5" t="s">
        <v>28</v>
      </c>
    </row>
    <row r="10">
      <c r="A10" s="0" t="s">
        <v>3</v>
      </c>
      <c r="B10" s="5" t="s">
        <v>29</v>
      </c>
      <c r="C10" s="0" t="s">
        <v>30</v>
      </c>
      <c r="D10" s="0">
        <v>33</v>
      </c>
      <c r="E10" s="0" t="s">
        <v>19</v>
      </c>
      <c r="F10" s="8">
        <v>33</v>
      </c>
      <c r="G10" s="2"/>
      <c r="H10" s="0">
        <f>IF(NOT(ISNUMBER(D10)),"",IF(ISNUMBER(G10),G10-D10,IF(ISNUMBER(F10),F10-D10,"")))</f>
      </c>
      <c r="I10" s="0">
        <v>2</v>
      </c>
      <c r="J10" s="6">
        <f>IF(OR(H10="",I10=""),"",IF(ABS(H10)&gt;I10,IF(ISNUMBER(G10),"UPDATE","UPDATE (spec)"),"ok"))</f>
      </c>
      <c r="K10" s="5" t="s">
        <v>31</v>
      </c>
    </row>
    <row r="11">
      <c r="A11" s="0" t="s">
        <v>3</v>
      </c>
      <c r="B11" s="5" t="s">
        <v>32</v>
      </c>
      <c r="C11" s="0" t="s">
        <v>33</v>
      </c>
      <c r="D11" s="0">
        <v>-20</v>
      </c>
      <c r="E11" s="0" t="s">
        <v>19</v>
      </c>
      <c r="F11" s="8">
        <v>-20</v>
      </c>
      <c r="G11" s="2"/>
      <c r="H11" s="0">
        <f>IF(NOT(ISNUMBER(D11)),"",IF(ISNUMBER(G11),G11-D11,IF(ISNUMBER(F11),F11-D11,"")))</f>
      </c>
      <c r="I11" s="0">
        <v>2</v>
      </c>
      <c r="J11" s="6">
        <f>IF(OR(H11="",I11=""),"",IF(ABS(H11)&gt;I11,IF(ISNUMBER(G11),"UPDATE","UPDATE (spec)"),"ok"))</f>
      </c>
      <c r="K11" s="5" t="s">
        <v>34</v>
      </c>
    </row>
    <row r="12">
      <c r="A12" s="0" t="s">
        <v>3</v>
      </c>
      <c r="B12" s="5" t="s">
        <v>35</v>
      </c>
      <c r="C12" s="0" t="s">
        <v>36</v>
      </c>
      <c r="D12" s="0">
        <v>19</v>
      </c>
      <c r="E12" s="0" t="s">
        <v>19</v>
      </c>
      <c r="F12" s="8">
        <v>19</v>
      </c>
      <c r="G12" s="2"/>
      <c r="H12" s="0">
        <f>IF(NOT(ISNUMBER(D12)),"",IF(ISNUMBER(G12),G12-D12,IF(ISNUMBER(F12),F12-D12,"")))</f>
      </c>
      <c r="I12" s="0">
        <v>2</v>
      </c>
      <c r="J12" s="6">
        <f>IF(OR(H12="",I12=""),"",IF(ABS(H12)&gt;I12,IF(ISNUMBER(G12),"UPDATE","UPDATE (spec)"),"ok"))</f>
      </c>
      <c r="K12" s="5" t="s">
        <v>37</v>
      </c>
    </row>
    <row r="13">
      <c r="A13" s="0" t="s">
        <v>3</v>
      </c>
      <c r="B13" s="5" t="s">
        <v>38</v>
      </c>
      <c r="C13" s="0" t="s">
        <v>39</v>
      </c>
      <c r="D13" s="0">
        <v>-4</v>
      </c>
      <c r="E13" s="0" t="s">
        <v>19</v>
      </c>
      <c r="F13" s="8">
        <v>-4</v>
      </c>
      <c r="G13" s="2"/>
      <c r="H13" s="0">
        <f>IF(NOT(ISNUMBER(D13)),"",IF(ISNUMBER(G13),G13-D13,IF(ISNUMBER(F13),F13-D13,"")))</f>
      </c>
      <c r="I13" s="0">
        <v>2</v>
      </c>
      <c r="J13" s="6">
        <f>IF(OR(H13="",I13=""),"",IF(ABS(H13)&gt;I13,IF(ISNUMBER(G13),"UPDATE","UPDATE (spec)"),"ok"))</f>
      </c>
      <c r="K13" s="5" t="s">
        <v>40</v>
      </c>
    </row>
    <row r="14">
      <c r="A14" s="0" t="s">
        <v>3</v>
      </c>
      <c r="B14" s="5" t="s">
        <v>41</v>
      </c>
      <c r="C14" s="0"/>
      <c r="D14" s="0"/>
      <c r="E14" s="0" t="s">
        <v>19</v>
      </c>
      <c r="F14" s="8"/>
      <c r="G14" s="2"/>
      <c r="H14" s="0">
        <f>IF(NOT(ISNUMBER(D14)),"",IF(ISNUMBER(G14),G14-D14,IF(ISNUMBER(F14),F14-D14,"")))</f>
      </c>
      <c r="I14" s="0"/>
      <c r="J14" s="6">
        <f>IF(OR(H14="",I14=""),"",IF(ABS(H14)&gt;I14,IF(ISNUMBER(G14),"UPDATE","UPDATE (spec)"),"ok"))</f>
      </c>
      <c r="K14" s="5" t="s">
        <v>42</v>
      </c>
    </row>
    <row r="15">
      <c r="A15" s="0" t="s">
        <v>3</v>
      </c>
      <c r="B15" s="5" t="s">
        <v>43</v>
      </c>
      <c r="C15" s="0" t="s">
        <v>44</v>
      </c>
      <c r="D15" s="0">
        <v>15</v>
      </c>
      <c r="E15" s="0" t="s">
        <v>19</v>
      </c>
      <c r="F15" s="8"/>
      <c r="G15" s="2"/>
      <c r="H15" s="0">
        <f>IF(NOT(ISNUMBER(D15)),"",IF(ISNUMBER(G15),G15-D15,IF(ISNUMBER(F15),F15-D15,"")))</f>
      </c>
      <c r="I15" s="0">
        <v>3</v>
      </c>
      <c r="J15" s="6">
        <f>IF(OR(H15="",I15=""),"",IF(ABS(H15)&gt;I15,IF(ISNUMBER(G15),"UPDATE","UPDATE (spec)"),"ok"))</f>
      </c>
      <c r="K15" s="5" t="s">
        <v>45</v>
      </c>
    </row>
    <row r="16">
      <c r="A16" s="0" t="s">
        <v>3</v>
      </c>
      <c r="B16" s="5" t="s">
        <v>46</v>
      </c>
      <c r="C16" s="0" t="s">
        <v>47</v>
      </c>
      <c r="D16" s="0">
        <v>55</v>
      </c>
      <c r="E16" s="0" t="s">
        <v>19</v>
      </c>
      <c r="F16" s="8"/>
      <c r="G16" s="2"/>
      <c r="H16" s="0">
        <f>IF(NOT(ISNUMBER(D16)),"",IF(ISNUMBER(G16),G16-D16,IF(ISNUMBER(F16),F16-D16,"")))</f>
      </c>
      <c r="I16" s="0">
        <v>3</v>
      </c>
      <c r="J16" s="6">
        <f>IF(OR(H16="",I16=""),"",IF(ABS(H16)&gt;I16,IF(ISNUMBER(G16),"UPDATE","UPDATE (spec)"),"ok"))</f>
      </c>
      <c r="K16" s="5" t="s">
        <v>48</v>
      </c>
    </row>
    <row r="17">
      <c r="A17" s="0" t="s">
        <v>3</v>
      </c>
      <c r="B17" s="5" t="s">
        <v>49</v>
      </c>
      <c r="C17" s="0" t="s">
        <v>50</v>
      </c>
      <c r="D17" s="0">
        <v>15</v>
      </c>
      <c r="E17" s="0" t="s">
        <v>19</v>
      </c>
      <c r="F17" s="8"/>
      <c r="G17" s="2"/>
      <c r="H17" s="0">
        <f>IF(NOT(ISNUMBER(D17)),"",IF(ISNUMBER(G17),G17-D17,IF(ISNUMBER(F17),F17-D17,"")))</f>
      </c>
      <c r="I17" s="0">
        <v>3</v>
      </c>
      <c r="J17" s="6">
        <f>IF(OR(H17="",I17=""),"",IF(ABS(H17)&gt;I17,IF(ISNUMBER(G17),"UPDATE","UPDATE (spec)"),"ok"))</f>
      </c>
      <c r="K17" s="5" t="s">
        <v>51</v>
      </c>
    </row>
    <row r="18">
      <c r="A18" s="0" t="s">
        <v>3</v>
      </c>
      <c r="B18" s="5" t="s">
        <v>52</v>
      </c>
      <c r="C18" s="0" t="s">
        <v>53</v>
      </c>
      <c r="D18" s="0">
        <v>720</v>
      </c>
      <c r="E18" s="0" t="s">
        <v>54</v>
      </c>
      <c r="F18" s="8">
        <v>454</v>
      </c>
      <c r="G18" s="2"/>
      <c r="H18" s="0">
        <f>IF(NOT(ISNUMBER(D18)),"",IF(ISNUMBER(G18),G18-D18,IF(ISNUMBER(F18),F18-D18,"")))</f>
      </c>
      <c r="I18" s="0">
        <v>100</v>
      </c>
      <c r="J18" s="6">
        <f>IF(OR(H18="",I18=""),"",IF(ABS(H18)&gt;I18,IF(ISNUMBER(G18),"UPDATE","UPDATE (spec)"),"ok"))</f>
      </c>
      <c r="K18" s="5" t="s">
        <v>55</v>
      </c>
    </row>
    <row r="19">
      <c r="A19" s="0" t="s">
        <v>3</v>
      </c>
      <c r="B19" s="5" t="s">
        <v>56</v>
      </c>
      <c r="C19" s="0" t="s">
        <v>57</v>
      </c>
      <c r="D19" s="0">
        <v>1.778</v>
      </c>
      <c r="E19" s="0" t="s">
        <v>48</v>
      </c>
      <c r="F19" s="8">
        <v>1.778</v>
      </c>
      <c r="G19" s="2"/>
      <c r="H19" s="0">
        <f>IF(NOT(ISNUMBER(D19)),"",IF(ISNUMBER(G19),G19-D19,IF(ISNUMBER(F19),F19-D19,"")))</f>
      </c>
      <c r="I19" s="0">
        <v>0.01</v>
      </c>
      <c r="J19" s="6">
        <f>IF(OR(H19="",I19=""),"",IF(ABS(H19)&gt;I19,IF(ISNUMBER(G19),"UPDATE","UPDATE (spec)"),"ok"))</f>
      </c>
      <c r="K19" s="5" t="s">
        <v>58</v>
      </c>
    </row>
    <row r="20">
      <c r="A20" s="0" t="s">
        <v>3</v>
      </c>
      <c r="B20" s="5" t="s">
        <v>59</v>
      </c>
      <c r="C20" s="0"/>
      <c r="D20" s="0"/>
      <c r="E20" s="0" t="s">
        <v>19</v>
      </c>
      <c r="F20" s="8"/>
      <c r="G20" s="2"/>
      <c r="H20" s="0">
        <f>IF(NOT(ISNUMBER(D20)),"",IF(ISNUMBER(G20),G20-D20,IF(ISNUMBER(F20),F20-D20,"")))</f>
      </c>
      <c r="I20" s="0"/>
      <c r="J20" s="6">
        <f>IF(OR(H20="",I20=""),"",IF(ABS(H20)&gt;I20,IF(ISNUMBER(G20),"UPDATE","UPDATE (spec)"),"ok"))</f>
      </c>
      <c r="K20" s="5" t="s">
        <v>60</v>
      </c>
    </row>
    <row r="21">
      <c r="A21" s="0" t="s">
        <v>3</v>
      </c>
      <c r="B21" s="5" t="s">
        <v>61</v>
      </c>
      <c r="C21" s="0"/>
      <c r="D21" s="0"/>
      <c r="E21" s="0" t="s">
        <v>19</v>
      </c>
      <c r="F21" s="8"/>
      <c r="G21" s="2"/>
      <c r="H21" s="0">
        <f>IF(NOT(ISNUMBER(D21)),"",IF(ISNUMBER(G21),G21-D21,IF(ISNUMBER(F21),F21-D21,"")))</f>
      </c>
      <c r="I21" s="0"/>
      <c r="J21" s="6">
        <f>IF(OR(H21="",I21=""),"",IF(ABS(H21)&gt;I21,IF(ISNUMBER(G21),"UPDATE","UPDATE (spec)"),"ok"))</f>
      </c>
      <c r="K21" s="5" t="s">
        <v>48</v>
      </c>
    </row>
    <row r="22">
      <c r="A22" s="0" t="s">
        <v>3</v>
      </c>
      <c r="B22" s="5" t="s">
        <v>62</v>
      </c>
      <c r="C22" s="0" t="s">
        <v>63</v>
      </c>
      <c r="D22" s="0">
        <v>0.95</v>
      </c>
      <c r="E22" s="0" t="s">
        <v>48</v>
      </c>
      <c r="F22" s="8">
        <v>0.95</v>
      </c>
      <c r="G22" s="6">
        <f>IF(AND(ISNUMBER(G20),ISNUMBER(G21),G21&gt;0),ROUND(G20/G21,2),"")</f>
      </c>
      <c r="H22" s="0">
        <f>IF(NOT(ISNUMBER(D22)),"",IF(ISNUMBER(G22),G22-D22,IF(ISNUMBER(F22),F22-D22,"")))</f>
      </c>
      <c r="I22" s="0">
        <v>0.1</v>
      </c>
      <c r="J22" s="6">
        <f>IF(OR(H22="",I22=""),"",IF(ABS(H22)&gt;I22,IF(ISNUMBER(G22),"UPDATE","UPDATE (spec)"),"ok"))</f>
      </c>
      <c r="K22" s="5" t="s">
        <v>64</v>
      </c>
    </row>
    <row r="23">
      <c r="A23" s="0" t="s">
        <v>3</v>
      </c>
      <c r="B23" s="5" t="s">
        <v>65</v>
      </c>
      <c r="C23" s="0"/>
      <c r="D23" s="0"/>
      <c r="E23" s="0" t="s">
        <v>19</v>
      </c>
      <c r="F23" s="8"/>
      <c r="G23" s="2"/>
      <c r="H23" s="0">
        <f>IF(NOT(ISNUMBER(D23)),"",IF(ISNUMBER(G23),G23-D23,IF(ISNUMBER(F23),F23-D23,"")))</f>
      </c>
      <c r="I23" s="0"/>
      <c r="J23" s="6">
        <f>IF(OR(H23="",I23=""),"",IF(ABS(H23)&gt;I23,IF(ISNUMBER(G23),"UPDATE","UPDATE (spec)"),"ok"))</f>
      </c>
      <c r="K23" s="5" t="s">
        <v>48</v>
      </c>
    </row>
    <row r="24">
      <c r="A24" s="0" t="s">
        <v>3</v>
      </c>
      <c r="B24" s="5" t="s">
        <v>66</v>
      </c>
      <c r="C24" s="0"/>
      <c r="D24" s="0"/>
      <c r="E24" s="0" t="s">
        <v>19</v>
      </c>
      <c r="F24" s="8"/>
      <c r="G24" s="2"/>
      <c r="H24" s="0">
        <f>IF(NOT(ISNUMBER(D24)),"",IF(ISNUMBER(G24),G24-D24,IF(ISNUMBER(F24),F24-D24,"")))</f>
      </c>
      <c r="I24" s="0"/>
      <c r="J24" s="6">
        <f>IF(OR(H24="",I24=""),"",IF(ABS(H24)&gt;I24,IF(ISNUMBER(G24),"UPDATE","UPDATE (spec)"),"ok"))</f>
      </c>
      <c r="K24" s="5" t="s">
        <v>67</v>
      </c>
    </row>
    <row r="25">
      <c r="A25" s="0" t="s">
        <v>3</v>
      </c>
      <c r="B25" s="5" t="s">
        <v>68</v>
      </c>
      <c r="C25" s="0" t="s">
        <v>69</v>
      </c>
      <c r="D25" s="0">
        <v>0</v>
      </c>
      <c r="E25" s="0" t="s">
        <v>48</v>
      </c>
      <c r="F25" s="8"/>
      <c r="G25" s="6">
        <f>IF(AND(ISNUMBER(G23),ISNUMBER(G24),G23&gt;0),ROUND(2*G24/G23+1,2),"")</f>
      </c>
      <c r="H25" s="0">
        <f>IF(NOT(ISNUMBER(D25)),"",IF(ISNUMBER(G25),G25-D25,IF(ISNUMBER(F25),F25-D25,"")))</f>
      </c>
      <c r="I25" s="0">
        <v>0.1</v>
      </c>
      <c r="J25" s="6">
        <f>IF(OR(H25="",I25=""),"",IF(ABS(H25)&gt;I25,IF(ISNUMBER(G25),"UPDATE","UPDATE (spec)"),"ok"))</f>
      </c>
      <c r="K25" s="5" t="s">
        <v>70</v>
      </c>
    </row>
    <row r="26">
      <c r="A26" s="0" t="s">
        <v>3</v>
      </c>
      <c r="B26" s="5" t="s">
        <v>71</v>
      </c>
      <c r="C26" s="0"/>
      <c r="D26" s="0"/>
      <c r="E26" s="0" t="s">
        <v>72</v>
      </c>
      <c r="F26" s="8">
        <v>50</v>
      </c>
      <c r="G26" s="2"/>
      <c r="H26" s="0">
        <f>IF(NOT(ISNUMBER(D26)),"",IF(ISNUMBER(G26),G26-D26,IF(ISNUMBER(F26),F26-D26,"")))</f>
      </c>
      <c r="I26" s="0"/>
      <c r="J26" s="6">
        <f>IF(OR(H26="",I26=""),"",IF(ABS(H26)&gt;I26,IF(ISNUMBER(G26),"UPDATE","UPDATE (spec)"),"ok"))</f>
      </c>
      <c r="K26" s="5" t="s">
        <v>73</v>
      </c>
    </row>
    <row r="27">
      <c r="A27" s="0" t="s">
        <v>74</v>
      </c>
      <c r="B27" s="5" t="s">
        <v>75</v>
      </c>
      <c r="C27" s="0" t="s">
        <v>76</v>
      </c>
      <c r="D27" s="0">
        <v>40</v>
      </c>
      <c r="E27" s="0" t="s">
        <v>19</v>
      </c>
      <c r="F27" s="8"/>
      <c r="G27" s="2"/>
      <c r="H27" s="0">
        <f>IF(NOT(ISNUMBER(D27)),"",IF(ISNUMBER(G27),G27-D27,IF(ISNUMBER(F27),F27-D27,"")))</f>
      </c>
      <c r="I27" s="0">
        <v>2</v>
      </c>
      <c r="J27" s="6">
        <f>IF(OR(H27="",I27=""),"",IF(ABS(H27)&gt;I27,IF(ISNUMBER(G27),"UPDATE","UPDATE (spec)"),"ok"))</f>
      </c>
      <c r="K27" s="5" t="s">
        <v>48</v>
      </c>
    </row>
    <row r="28">
      <c r="A28" s="0" t="s">
        <v>74</v>
      </c>
      <c r="B28" s="5" t="s">
        <v>77</v>
      </c>
      <c r="C28" s="0" t="s">
        <v>78</v>
      </c>
      <c r="D28" s="0">
        <v>25</v>
      </c>
      <c r="E28" s="0" t="s">
        <v>19</v>
      </c>
      <c r="F28" s="8"/>
      <c r="G28" s="2"/>
      <c r="H28" s="0">
        <f>IF(NOT(ISNUMBER(D28)),"",IF(ISNUMBER(G28),G28-D28,IF(ISNUMBER(F28),F28-D28,"")))</f>
      </c>
      <c r="I28" s="0">
        <v>2</v>
      </c>
      <c r="J28" s="6">
        <f>IF(OR(H28="",I28=""),"",IF(ABS(H28)&gt;I28,IF(ISNUMBER(G28),"UPDATE","UPDATE (spec)"),"ok"))</f>
      </c>
      <c r="K28" s="5" t="s">
        <v>79</v>
      </c>
    </row>
    <row r="29">
      <c r="A29" s="0" t="s">
        <v>74</v>
      </c>
      <c r="B29" s="5" t="s">
        <v>80</v>
      </c>
      <c r="C29" s="0"/>
      <c r="D29" s="0"/>
      <c r="E29" s="0" t="s">
        <v>19</v>
      </c>
      <c r="F29" s="8"/>
      <c r="G29" s="2"/>
      <c r="H29" s="0">
        <f>IF(NOT(ISNUMBER(D29)),"",IF(ISNUMBER(G29),G29-D29,IF(ISNUMBER(F29),F29-D29,"")))</f>
      </c>
      <c r="I29" s="0"/>
      <c r="J29" s="6">
        <f>IF(OR(H29="",I29=""),"",IF(ABS(H29)&gt;I29,IF(ISNUMBER(G29),"UPDATE","UPDATE (spec)"),"ok"))</f>
      </c>
      <c r="K29" s="5" t="s">
        <v>81</v>
      </c>
    </row>
    <row r="30">
      <c r="A30" s="0" t="s">
        <v>74</v>
      </c>
      <c r="B30" s="5" t="s">
        <v>82</v>
      </c>
      <c r="C30" s="0"/>
      <c r="D30" s="0"/>
      <c r="E30" s="0" t="s">
        <v>19</v>
      </c>
      <c r="F30" s="8"/>
      <c r="G30" s="2"/>
      <c r="H30" s="0">
        <f>IF(NOT(ISNUMBER(D30)),"",IF(ISNUMBER(G30),G30-D30,IF(ISNUMBER(F30),F30-D30,"")))</f>
      </c>
      <c r="I30" s="0"/>
      <c r="J30" s="6">
        <f>IF(OR(H30="",I30=""),"",IF(ABS(H30)&gt;I30,IF(ISNUMBER(G30),"UPDATE","UPDATE (spec)"),"ok"))</f>
      </c>
      <c r="K30" s="5" t="s">
        <v>83</v>
      </c>
    </row>
    <row r="31">
      <c r="A31" s="0" t="s">
        <v>74</v>
      </c>
      <c r="B31" s="5" t="s">
        <v>84</v>
      </c>
      <c r="C31" s="0" t="s">
        <v>85</v>
      </c>
      <c r="D31" s="0">
        <v>15</v>
      </c>
      <c r="E31" s="0" t="s">
        <v>86</v>
      </c>
      <c r="F31" s="8"/>
      <c r="G31" s="2"/>
      <c r="H31" s="0">
        <f>IF(NOT(ISNUMBER(D31)),"",IF(ISNUMBER(G31),G31-D31,IF(ISNUMBER(F31),F31-D31,"")))</f>
      </c>
      <c r="I31" s="0">
        <v>1</v>
      </c>
      <c r="J31" s="6">
        <f>IF(OR(H31="",I31=""),"",IF(ABS(H31)&gt;I31,IF(ISNUMBER(G31),"UPDATE","UPDATE (spec)"),"ok"))</f>
      </c>
      <c r="K31" s="5" t="s">
        <v>87</v>
      </c>
    </row>
    <row r="32">
      <c r="A32" s="0" t="s">
        <v>88</v>
      </c>
      <c r="B32" s="5" t="s">
        <v>89</v>
      </c>
      <c r="C32" s="0" t="s">
        <v>90</v>
      </c>
      <c r="D32" s="0">
        <v>100</v>
      </c>
      <c r="E32" s="0" t="s">
        <v>19</v>
      </c>
      <c r="F32" s="8"/>
      <c r="G32" s="2"/>
      <c r="H32" s="0">
        <f>IF(NOT(ISNUMBER(D32)),"",IF(ISNUMBER(G32),G32-D32,IF(ISNUMBER(F32),F32-D32,"")))</f>
      </c>
      <c r="I32" s="0">
        <v>2</v>
      </c>
      <c r="J32" s="6">
        <f>IF(OR(H32="",I32=""),"",IF(ABS(H32)&gt;I32,IF(ISNUMBER(G32),"UPDATE","UPDATE (spec)"),"ok"))</f>
      </c>
      <c r="K32" s="5" t="s">
        <v>91</v>
      </c>
    </row>
    <row r="33">
      <c r="A33" s="0" t="s">
        <v>88</v>
      </c>
      <c r="B33" s="5" t="s">
        <v>92</v>
      </c>
      <c r="C33" s="0" t="s">
        <v>93</v>
      </c>
      <c r="D33" s="0">
        <v>50</v>
      </c>
      <c r="E33" s="0" t="s">
        <v>19</v>
      </c>
      <c r="F33" s="8"/>
      <c r="G33" s="2"/>
      <c r="H33" s="0">
        <f>IF(NOT(ISNUMBER(D33)),"",IF(ISNUMBER(G33),G33-D33,IF(ISNUMBER(F33),F33-D33,"")))</f>
      </c>
      <c r="I33" s="0">
        <v>2</v>
      </c>
      <c r="J33" s="6">
        <f>IF(OR(H33="",I33=""),"",IF(ABS(H33)&gt;I33,IF(ISNUMBER(G33),"UPDATE","UPDATE (spec)"),"ok"))</f>
      </c>
      <c r="K33" s="5" t="s">
        <v>48</v>
      </c>
    </row>
    <row r="34">
      <c r="A34" s="0" t="s">
        <v>88</v>
      </c>
      <c r="B34" s="5" t="s">
        <v>94</v>
      </c>
      <c r="C34" s="0" t="s">
        <v>95</v>
      </c>
      <c r="D34" s="0">
        <v>32</v>
      </c>
      <c r="E34" s="0" t="s">
        <v>19</v>
      </c>
      <c r="F34" s="8"/>
      <c r="G34" s="2"/>
      <c r="H34" s="0">
        <f>IF(NOT(ISNUMBER(D34)),"",IF(ISNUMBER(G34),G34-D34,IF(ISNUMBER(F34),F34-D34,"")))</f>
      </c>
      <c r="I34" s="0">
        <v>2</v>
      </c>
      <c r="J34" s="6">
        <f>IF(OR(H34="",I34=""),"",IF(ABS(H34)&gt;I34,IF(ISNUMBER(G34),"UPDATE","UPDATE (spec)"),"ok"))</f>
      </c>
      <c r="K34" s="5" t="s">
        <v>48</v>
      </c>
    </row>
    <row r="35">
      <c r="A35" s="0" t="s">
        <v>88</v>
      </c>
      <c r="B35" s="5" t="s">
        <v>96</v>
      </c>
      <c r="C35" s="0"/>
      <c r="D35" s="0">
        <v>21</v>
      </c>
      <c r="E35" s="0" t="s">
        <v>97</v>
      </c>
      <c r="F35" s="8">
        <v>21</v>
      </c>
      <c r="G35" s="2"/>
      <c r="H35" s="0">
        <f>IF(NOT(ISNUMBER(D35)),"",IF(ISNUMBER(G35),G35-D35,IF(ISNUMBER(F35),F35-D35,"")))</f>
      </c>
      <c r="I35" s="0">
        <v>0.5</v>
      </c>
      <c r="J35" s="6">
        <f>IF(OR(H35="",I35=""),"",IF(ABS(H35)&gt;I35,IF(ISNUMBER(G35),"UPDATE","UPDATE (spec)"),"ok"))</f>
      </c>
      <c r="K35" s="5" t="s">
        <v>98</v>
      </c>
    </row>
    <row r="36">
      <c r="A36" s="0" t="s">
        <v>88</v>
      </c>
      <c r="B36" s="5" t="s">
        <v>99</v>
      </c>
      <c r="C36" s="0"/>
      <c r="D36" s="0"/>
      <c r="E36" s="0" t="s">
        <v>100</v>
      </c>
      <c r="F36" s="8">
        <v>3</v>
      </c>
      <c r="G36" s="2"/>
      <c r="H36" s="0">
        <f>IF(NOT(ISNUMBER(D36)),"",IF(ISNUMBER(G36),G36-D36,IF(ISNUMBER(F36),F36-D36,"")))</f>
      </c>
      <c r="I36" s="0"/>
      <c r="J36" s="6">
        <f>IF(OR(H36="",I36=""),"",IF(ABS(H36)&gt;I36,IF(ISNUMBER(G36),"UPDATE","UPDATE (spec)"),"ok"))</f>
      </c>
      <c r="K36" s="5" t="s">
        <v>101</v>
      </c>
    </row>
    <row r="37">
      <c r="A37" s="0" t="s">
        <v>88</v>
      </c>
      <c r="B37" s="5" t="s">
        <v>102</v>
      </c>
      <c r="C37" s="0"/>
      <c r="D37" s="0"/>
      <c r="E37" s="0" t="s">
        <v>100</v>
      </c>
      <c r="F37" s="8"/>
      <c r="G37" s="2"/>
      <c r="H37" s="0">
        <f>IF(NOT(ISNUMBER(D37)),"",IF(ISNUMBER(G37),G37-D37,IF(ISNUMBER(F37),F37-D37,"")))</f>
      </c>
      <c r="I37" s="0"/>
      <c r="J37" s="6">
        <f>IF(OR(H37="",I37=""),"",IF(ABS(H37)&gt;I37,IF(ISNUMBER(G37),"UPDATE","UPDATE (spec)"),"ok"))</f>
      </c>
      <c r="K37" s="5" t="s">
        <v>103</v>
      </c>
    </row>
    <row r="38">
      <c r="A38" s="0" t="s">
        <v>88</v>
      </c>
      <c r="B38" s="5" t="s">
        <v>104</v>
      </c>
      <c r="C38" s="0" t="s">
        <v>105</v>
      </c>
      <c r="D38" s="0"/>
      <c r="E38" s="0" t="s">
        <v>19</v>
      </c>
      <c r="F38" s="8"/>
      <c r="G38" s="2"/>
      <c r="H38" s="0">
        <f>IF(NOT(ISNUMBER(D38)),"",IF(ISNUMBER(G38),G38-D38,IF(ISNUMBER(F38),F38-D38,"")))</f>
      </c>
      <c r="I38" s="0"/>
      <c r="J38" s="6">
        <f>IF(OR(H38="",I38=""),"",IF(ABS(H38)&gt;I38,IF(ISNUMBER(G38),"UPDATE","UPDATE (spec)"),"ok"))</f>
      </c>
      <c r="K38" s="5" t="s">
        <v>106</v>
      </c>
    </row>
    <row r="39">
      <c r="A39" s="0" t="s">
        <v>107</v>
      </c>
      <c r="B39" s="5" t="s">
        <v>108</v>
      </c>
      <c r="C39" s="0" t="s">
        <v>109</v>
      </c>
      <c r="D39" s="0">
        <v>40</v>
      </c>
      <c r="E39" s="0" t="s">
        <v>19</v>
      </c>
      <c r="F39" s="8"/>
      <c r="G39" s="2"/>
      <c r="H39" s="0">
        <f>IF(NOT(ISNUMBER(D39)),"",IF(ISNUMBER(G39),G39-D39,IF(ISNUMBER(F39),F39-D39,"")))</f>
      </c>
      <c r="I39" s="0">
        <v>2</v>
      </c>
      <c r="J39" s="6">
        <f>IF(OR(H39="",I39=""),"",IF(ABS(H39)&gt;I39,IF(ISNUMBER(G39),"UPDATE","UPDATE (spec)"),"ok"))</f>
      </c>
      <c r="K39" s="5" t="s">
        <v>110</v>
      </c>
    </row>
    <row r="40">
      <c r="A40" s="0" t="s">
        <v>107</v>
      </c>
      <c r="B40" s="5" t="s">
        <v>111</v>
      </c>
      <c r="C40" s="0" t="s">
        <v>112</v>
      </c>
      <c r="D40" s="0">
        <v>50</v>
      </c>
      <c r="E40" s="0" t="s">
        <v>19</v>
      </c>
      <c r="F40" s="8"/>
      <c r="G40" s="2"/>
      <c r="H40" s="0">
        <f>IF(NOT(ISNUMBER(D40)),"",IF(ISNUMBER(G40),G40-D40,IF(ISNUMBER(F40),F40-D40,"")))</f>
      </c>
      <c r="I40" s="0">
        <v>2</v>
      </c>
      <c r="J40" s="6">
        <f>IF(OR(H40="",I40=""),"",IF(ABS(H40)&gt;I40,IF(ISNUMBER(G40),"UPDATE","UPDATE (spec)"),"ok"))</f>
      </c>
      <c r="K40" s="5" t="s">
        <v>48</v>
      </c>
    </row>
    <row r="41">
      <c r="A41" s="0" t="s">
        <v>107</v>
      </c>
      <c r="B41" s="5" t="s">
        <v>113</v>
      </c>
      <c r="C41" s="0" t="s">
        <v>114</v>
      </c>
      <c r="D41" s="0">
        <v>30</v>
      </c>
      <c r="E41" s="0" t="s">
        <v>19</v>
      </c>
      <c r="F41" s="8"/>
      <c r="G41" s="2"/>
      <c r="H41" s="0">
        <f>IF(NOT(ISNUMBER(D41)),"",IF(ISNUMBER(G41),G41-D41,IF(ISNUMBER(F41),F41-D41,"")))</f>
      </c>
      <c r="I41" s="0">
        <v>2</v>
      </c>
      <c r="J41" s="6">
        <f>IF(OR(H41="",I41=""),"",IF(ABS(H41)&gt;I41,IF(ISNUMBER(G41),"UPDATE","UPDATE (spec)"),"ok"))</f>
      </c>
      <c r="K41" s="5" t="s">
        <v>48</v>
      </c>
    </row>
    <row r="42">
      <c r="A42" s="0" t="s">
        <v>107</v>
      </c>
      <c r="B42" s="5" t="s">
        <v>115</v>
      </c>
      <c r="C42" s="0" t="s">
        <v>116</v>
      </c>
      <c r="D42" s="0">
        <v>13</v>
      </c>
      <c r="E42" s="0" t="s">
        <v>19</v>
      </c>
      <c r="F42" s="8"/>
      <c r="G42" s="2"/>
      <c r="H42" s="0">
        <f>IF(NOT(ISNUMBER(D42)),"",IF(ISNUMBER(G42),G42-D42,IF(ISNUMBER(F42),F42-D42,"")))</f>
      </c>
      <c r="I42" s="0">
        <v>1</v>
      </c>
      <c r="J42" s="6">
        <f>IF(OR(H42="",I42=""),"",IF(ABS(H42)&gt;I42,IF(ISNUMBER(G42),"UPDATE","UPDATE (spec)"),"ok"))</f>
      </c>
      <c r="K42" s="5" t="s">
        <v>117</v>
      </c>
    </row>
    <row r="43">
      <c r="A43" s="0" t="s">
        <v>118</v>
      </c>
      <c r="B43" s="5" t="s">
        <v>119</v>
      </c>
      <c r="C43" s="0" t="s">
        <v>120</v>
      </c>
      <c r="D43" s="0">
        <v>23.5</v>
      </c>
      <c r="E43" s="0" t="s">
        <v>19</v>
      </c>
      <c r="F43" s="8"/>
      <c r="G43" s="2"/>
      <c r="H43" s="0">
        <f>IF(NOT(ISNUMBER(D43)),"",IF(ISNUMBER(G43),G43-D43,IF(ISNUMBER(F43),F43-D43,"")))</f>
      </c>
      <c r="I43" s="0">
        <v>0.5</v>
      </c>
      <c r="J43" s="6">
        <f>IF(OR(H43="",I43=""),"",IF(ABS(H43)&gt;I43,IF(ISNUMBER(G43),"UPDATE","UPDATE (spec)"),"ok"))</f>
      </c>
      <c r="K43" s="5" t="s">
        <v>48</v>
      </c>
    </row>
    <row r="44">
      <c r="A44" s="0" t="s">
        <v>118</v>
      </c>
      <c r="B44" s="5" t="s">
        <v>121</v>
      </c>
      <c r="C44" s="0" t="s">
        <v>122</v>
      </c>
      <c r="D44" s="0">
        <v>28.7</v>
      </c>
      <c r="E44" s="0" t="s">
        <v>19</v>
      </c>
      <c r="F44" s="8"/>
      <c r="G44" s="2"/>
      <c r="H44" s="0">
        <f>IF(NOT(ISNUMBER(D44)),"",IF(ISNUMBER(G44),G44-D44,IF(ISNUMBER(F44),F44-D44,"")))</f>
      </c>
      <c r="I44" s="0">
        <v>0.3</v>
      </c>
      <c r="J44" s="6">
        <f>IF(OR(H44="",I44=""),"",IF(ABS(H44)&gt;I44,IF(ISNUMBER(G44),"UPDATE","UPDATE (spec)"),"ok"))</f>
      </c>
      <c r="K44" s="5" t="s">
        <v>123</v>
      </c>
    </row>
    <row r="45">
      <c r="A45" s="0" t="s">
        <v>118</v>
      </c>
      <c r="B45" s="5" t="s">
        <v>124</v>
      </c>
      <c r="C45" s="0" t="s">
        <v>125</v>
      </c>
      <c r="D45" s="0">
        <v>3</v>
      </c>
      <c r="E45" s="0" t="s">
        <v>19</v>
      </c>
      <c r="F45" s="8"/>
      <c r="G45" s="2"/>
      <c r="H45" s="0">
        <f>IF(NOT(ISNUMBER(D45)),"",IF(ISNUMBER(G45),G45-D45,IF(ISNUMBER(F45),F45-D45,"")))</f>
      </c>
      <c r="I45" s="0">
        <v>0.5</v>
      </c>
      <c r="J45" s="6">
        <f>IF(OR(H45="",I45=""),"",IF(ABS(H45)&gt;I45,IF(ISNUMBER(G45),"UPDATE","UPDATE (spec)"),"ok"))</f>
      </c>
      <c r="K45" s="5" t="s">
        <v>126</v>
      </c>
    </row>
    <row r="46">
      <c r="A46" s="0" t="s">
        <v>127</v>
      </c>
      <c r="B46" s="5" t="s">
        <v>128</v>
      </c>
      <c r="C46" s="0" t="s">
        <v>129</v>
      </c>
      <c r="D46" s="0">
        <v>127</v>
      </c>
      <c r="E46" s="0" t="s">
        <v>19</v>
      </c>
      <c r="F46" s="8"/>
      <c r="G46" s="2"/>
      <c r="H46" s="0">
        <f>IF(NOT(ISNUMBER(D46)),"",IF(ISNUMBER(G46),G46-D46,IF(ISNUMBER(F46),F46-D46,"")))</f>
      </c>
      <c r="I46" s="0">
        <v>0.5</v>
      </c>
      <c r="J46" s="6">
        <f>IF(OR(H46="",I46=""),"",IF(ABS(H46)&gt;I46,IF(ISNUMBER(G46),"UPDATE","UPDATE (spec)"),"ok"))</f>
      </c>
      <c r="K46" s="5" t="s">
        <v>130</v>
      </c>
    </row>
    <row r="47">
      <c r="A47" s="0" t="s">
        <v>127</v>
      </c>
      <c r="B47" s="5" t="s">
        <v>131</v>
      </c>
      <c r="C47" s="0" t="s">
        <v>132</v>
      </c>
      <c r="D47" s="0">
        <v>101.6</v>
      </c>
      <c r="E47" s="0" t="s">
        <v>19</v>
      </c>
      <c r="F47" s="8"/>
      <c r="G47" s="2"/>
      <c r="H47" s="0">
        <f>IF(NOT(ISNUMBER(D47)),"",IF(ISNUMBER(G47),G47-D47,IF(ISNUMBER(F47),F47-D47,"")))</f>
      </c>
      <c r="I47" s="0">
        <v>0.5</v>
      </c>
      <c r="J47" s="6">
        <f>IF(OR(H47="",I47=""),"",IF(ABS(H47)&gt;I47,IF(ISNUMBER(G47),"UPDATE","UPDATE (spec)"),"ok"))</f>
      </c>
      <c r="K47" s="5" t="s">
        <v>48</v>
      </c>
    </row>
    <row r="48">
      <c r="A48" s="0" t="s">
        <v>127</v>
      </c>
      <c r="B48" s="5" t="s">
        <v>133</v>
      </c>
      <c r="C48" s="0" t="s">
        <v>134</v>
      </c>
      <c r="D48" s="0">
        <v>3.2</v>
      </c>
      <c r="E48" s="0" t="s">
        <v>19</v>
      </c>
      <c r="F48" s="8"/>
      <c r="G48" s="2"/>
      <c r="H48" s="0">
        <f>IF(NOT(ISNUMBER(D48)),"",IF(ISNUMBER(G48),G48-D48,IF(ISNUMBER(F48),F48-D48,"")))</f>
      </c>
      <c r="I48" s="0">
        <v>0.2</v>
      </c>
      <c r="J48" s="6">
        <f>IF(OR(H48="",I48=""),"",IF(ABS(H48)&gt;I48,IF(ISNUMBER(G48),"UPDATE","UPDATE (spec)"),"ok"))</f>
      </c>
      <c r="K48" s="5" t="s">
        <v>135</v>
      </c>
    </row>
    <row r="49">
      <c r="A49" s="0" t="s">
        <v>136</v>
      </c>
      <c r="B49" s="5" t="s">
        <v>137</v>
      </c>
      <c r="C49" s="0" t="s">
        <v>138</v>
      </c>
      <c r="D49" s="0">
        <v>12.1</v>
      </c>
      <c r="E49" s="0" t="s">
        <v>19</v>
      </c>
      <c r="F49" s="8"/>
      <c r="G49" s="2"/>
      <c r="H49" s="0">
        <f>IF(NOT(ISNUMBER(D49)),"",IF(ISNUMBER(G49),G49-D49,IF(ISNUMBER(F49),F49-D49,"")))</f>
      </c>
      <c r="I49" s="0">
        <v>0.1</v>
      </c>
      <c r="J49" s="6">
        <f>IF(OR(H49="",I49=""),"",IF(ABS(H49)&gt;I49,IF(ISNUMBER(G49),"UPDATE","UPDATE (spec)"),"ok"))</f>
      </c>
      <c r="K49" s="5" t="s">
        <v>139</v>
      </c>
    </row>
    <row r="50">
      <c r="A50" s="0" t="s">
        <v>136</v>
      </c>
      <c r="B50" s="5" t="s">
        <v>140</v>
      </c>
      <c r="C50" s="0" t="s">
        <v>141</v>
      </c>
      <c r="D50" s="0">
        <v>8.2</v>
      </c>
      <c r="E50" s="0" t="s">
        <v>19</v>
      </c>
      <c r="F50" s="8"/>
      <c r="G50" s="2"/>
      <c r="H50" s="0">
        <f>IF(NOT(ISNUMBER(D50)),"",IF(ISNUMBER(G50),G50-D50,IF(ISNUMBER(F50),F50-D50,"")))</f>
      </c>
      <c r="I50" s="0">
        <v>0.1</v>
      </c>
      <c r="J50" s="6">
        <f>IF(OR(H50="",I50=""),"",IF(ABS(H50)&gt;I50,IF(ISNUMBER(G50),"UPDATE","UPDATE (spec)"),"ok"))</f>
      </c>
      <c r="K50" s="5" t="s">
        <v>48</v>
      </c>
    </row>
    <row r="51">
      <c r="A51" s="0" t="s">
        <v>136</v>
      </c>
      <c r="B51" s="5" t="s">
        <v>142</v>
      </c>
      <c r="C51" s="0" t="s">
        <v>143</v>
      </c>
      <c r="D51" s="0">
        <v>5.6</v>
      </c>
      <c r="E51" s="0" t="s">
        <v>19</v>
      </c>
      <c r="F51" s="8"/>
      <c r="G51" s="2"/>
      <c r="H51" s="0">
        <f>IF(NOT(ISNUMBER(D51)),"",IF(ISNUMBER(G51),G51-D51,IF(ISNUMBER(F51),F51-D51,"")))</f>
      </c>
      <c r="I51" s="0">
        <v>0.1</v>
      </c>
      <c r="J51" s="6">
        <f>IF(OR(H51="",I51=""),"",IF(ABS(H51)&gt;I51,IF(ISNUMBER(G51),"UPDATE","UPDATE (spec)"),"ok"))</f>
      </c>
      <c r="K51" s="5" t="s">
        <v>48</v>
      </c>
    </row>
    <row r="52">
      <c r="A52" s="0" t="s">
        <v>136</v>
      </c>
      <c r="B52" s="5" t="s">
        <v>144</v>
      </c>
      <c r="C52" s="0" t="s">
        <v>145</v>
      </c>
      <c r="D52" s="0">
        <v>4.0</v>
      </c>
      <c r="E52" s="0" t="s">
        <v>19</v>
      </c>
      <c r="F52" s="8"/>
      <c r="G52" s="2"/>
      <c r="H52" s="0">
        <f>IF(NOT(ISNUMBER(D52)),"",IF(ISNUMBER(G52),G52-D52,IF(ISNUMBER(F52),F52-D52,"")))</f>
      </c>
      <c r="I52" s="0">
        <v>0.1</v>
      </c>
      <c r="J52" s="6">
        <f>IF(OR(H52="",I52=""),"",IF(ABS(H52)&gt;I52,IF(ISNUMBER(G52),"UPDATE","UPDATE (spec)"),"ok"))</f>
      </c>
      <c r="K52" s="5" t="s">
        <v>48</v>
      </c>
    </row>
    <row r="53">
      <c r="A53" s="0" t="s">
        <v>146</v>
      </c>
      <c r="B53" s="5" t="s">
        <v>147</v>
      </c>
      <c r="C53" s="0" t="s">
        <v>148</v>
      </c>
      <c r="D53" s="0">
        <v>0.3</v>
      </c>
      <c r="E53" s="0" t="s">
        <v>19</v>
      </c>
      <c r="F53" s="8"/>
      <c r="G53" s="2"/>
      <c r="H53" s="0">
        <f>IF(NOT(ISNUMBER(D53)),"",IF(ISNUMBER(G53),G53-D53,IF(ISNUMBER(F53),F53-D53,"")))</f>
      </c>
      <c r="I53" s="0">
        <v>0.05</v>
      </c>
      <c r="J53" s="6">
        <f>IF(OR(H53="",I53=""),"",IF(ABS(H53)&gt;I53,IF(ISNUMBER(G53),"UPDATE","UPDATE (spec)"),"ok"))</f>
      </c>
      <c r="K53" s="5" t="s">
        <v>149</v>
      </c>
    </row>
    <row r="55">
      <c r="A55" s="1" t="s">
        <v>150</v>
      </c>
      <c r="B55" s="6">
        <f>COUNTIF(J7:J53,"UPDATE*")</f>
      </c>
      <c r="C55" s="1" t="s">
        <v>151</v>
      </c>
      <c r="D55" s="6">
        <f>COUNTBLANK(G7:G53)</f>
      </c>
    </row>
    <row r="57">
      <c r="A57" s="1" t="s">
        <v>152</v>
      </c>
    </row>
    <row r="58">
      <c r="A58" s="2" t="s">
        <v>153</v>
      </c>
      <c r="B58" s="4" t="s">
        <v>154</v>
      </c>
    </row>
    <row r="59">
      <c r="A59" s="8" t="s">
        <v>155</v>
      </c>
      <c r="B59" s="4" t="s">
        <v>156</v>
      </c>
    </row>
    <row r="60">
      <c r="A60" s="6" t="s">
        <v>157</v>
      </c>
      <c r="B60" s="4" t="s">
        <v>158</v>
      </c>
    </row>
    <row r="61">
      <c r="A61" s="0" t="s">
        <v>159</v>
      </c>
      <c r="B61" s="4" t="s">
        <v>160</v>
      </c>
    </row>
  </sheetData>
</worksheet>
</file>

<file path=xl/worksheets/sheet2.xml><?xml version="1.0" encoding="utf-8"?>
<worksheet xmlns="http://schemas.openxmlformats.org/spreadsheetml/2006/main">
  <sheetViews>
    <sheetView workbookViewId="0" tabSelected="1">
      <pane ySplit="4" topLeftCell="A5" activePane="bottomLeft" state="frozen"/>
    </sheetView>
  </sheetViews>
  <sheetFormatPr defaultRowHeight="15"/>
  <cols>
    <col min="1" max="1" width="12" customWidth="1"/>
    <col min="2" max="2" width="55" customWidth="1"/>
    <col min="3" max="3" width="36" customWidth="1"/>
    <col min="4" max="4" width="30" customWidth="1"/>
    <col min="5" max="5" width="50" customWidth="1"/>
  </cols>
  <sheetData>
    <row r="1">
      <c r="A1" s="3" t="s">
        <v>161</v>
      </c>
    </row>
    <row r="2">
      <c r="A2" s="4" t="s">
        <v>162</v>
      </c>
    </row>
    <row r="4">
      <c r="A4" s="7" t="s">
        <v>5</v>
      </c>
      <c r="B4" s="7" t="s">
        <v>163</v>
      </c>
      <c r="C4" s="7" t="s">
        <v>164</v>
      </c>
      <c r="D4" s="7" t="s">
        <v>165</v>
      </c>
      <c r="E4" s="7" t="s">
        <v>166</v>
      </c>
    </row>
    <row r="5">
      <c r="A5" s="0" t="s">
        <v>3</v>
      </c>
      <c r="B5" s="5" t="s">
        <v>167</v>
      </c>
      <c r="C5" s="8" t="s">
        <v>168</v>
      </c>
      <c r="D5" s="2"/>
      <c r="E5" s="5" t="s">
        <v>169</v>
      </c>
    </row>
    <row r="6">
      <c r="A6" s="0" t="s">
        <v>3</v>
      </c>
      <c r="B6" s="5" t="s">
        <v>170</v>
      </c>
      <c r="C6" s="8" t="s">
        <v>171</v>
      </c>
      <c r="D6" s="2"/>
      <c r="E6" s="5" t="s">
        <v>172</v>
      </c>
    </row>
    <row r="7">
      <c r="A7" s="0" t="s">
        <v>3</v>
      </c>
      <c r="B7" s="5" t="s">
        <v>173</v>
      </c>
      <c r="C7" s="8" t="s">
        <v>174</v>
      </c>
      <c r="D7" s="2"/>
      <c r="E7" s="5" t="s">
        <v>175</v>
      </c>
    </row>
    <row r="8">
      <c r="A8" s="0" t="s">
        <v>3</v>
      </c>
      <c r="B8" s="5" t="s">
        <v>176</v>
      </c>
      <c r="C8" s="8" t="s">
        <v>177</v>
      </c>
      <c r="D8" s="2"/>
      <c r="E8" s="5" t="s">
        <v>178</v>
      </c>
    </row>
    <row r="9">
      <c r="A9" s="0" t="s">
        <v>3</v>
      </c>
      <c r="B9" s="5" t="s">
        <v>179</v>
      </c>
      <c r="C9" s="8" t="s">
        <v>180</v>
      </c>
      <c r="D9" s="2"/>
      <c r="E9" s="5" t="s">
        <v>181</v>
      </c>
    </row>
    <row r="10">
      <c r="A10" s="0" t="s">
        <v>3</v>
      </c>
      <c r="B10" s="5" t="s">
        <v>182</v>
      </c>
      <c r="C10" s="8" t="s">
        <v>183</v>
      </c>
      <c r="D10" s="2"/>
      <c r="E10" s="5" t="s">
        <v>184</v>
      </c>
    </row>
    <row r="11">
      <c r="A11" s="0" t="s">
        <v>3</v>
      </c>
      <c r="B11" s="5" t="s">
        <v>185</v>
      </c>
      <c r="C11" s="8" t="s">
        <v>186</v>
      </c>
      <c r="D11" s="2"/>
      <c r="E11" s="5" t="s">
        <v>187</v>
      </c>
    </row>
    <row r="12">
      <c r="A12" s="0" t="s">
        <v>3</v>
      </c>
      <c r="B12" s="5" t="s">
        <v>188</v>
      </c>
      <c r="C12" s="8" t="s">
        <v>189</v>
      </c>
      <c r="D12" s="2"/>
      <c r="E12" s="5" t="s">
        <v>190</v>
      </c>
    </row>
    <row r="13">
      <c r="A13" s="0" t="s">
        <v>3</v>
      </c>
      <c r="B13" s="5" t="s">
        <v>191</v>
      </c>
      <c r="C13" s="8" t="s">
        <v>186</v>
      </c>
      <c r="D13" s="2"/>
      <c r="E13" s="5" t="s">
        <v>192</v>
      </c>
    </row>
    <row r="14">
      <c r="A14" s="0" t="s">
        <v>74</v>
      </c>
      <c r="B14" s="5" t="s">
        <v>193</v>
      </c>
      <c r="C14" s="8"/>
      <c r="D14" s="2"/>
      <c r="E14" s="5" t="s">
        <v>48</v>
      </c>
    </row>
    <row r="15">
      <c r="A15" s="0" t="s">
        <v>74</v>
      </c>
      <c r="B15" s="5" t="s">
        <v>194</v>
      </c>
      <c r="C15" s="8"/>
      <c r="D15" s="2"/>
      <c r="E15" s="5" t="s">
        <v>195</v>
      </c>
    </row>
    <row r="16">
      <c r="A16" s="0" t="s">
        <v>88</v>
      </c>
      <c r="B16" s="5" t="s">
        <v>196</v>
      </c>
      <c r="C16" s="8"/>
      <c r="D16" s="2"/>
      <c r="E16" s="5" t="s">
        <v>197</v>
      </c>
    </row>
    <row r="17">
      <c r="A17" s="0" t="s">
        <v>88</v>
      </c>
      <c r="B17" s="5" t="s">
        <v>198</v>
      </c>
      <c r="C17" s="8"/>
      <c r="D17" s="2"/>
      <c r="E17" s="5" t="s">
        <v>48</v>
      </c>
    </row>
    <row r="18">
      <c r="A18" s="0" t="s">
        <v>88</v>
      </c>
      <c r="B18" s="5" t="s">
        <v>199</v>
      </c>
      <c r="C18" s="8"/>
      <c r="D18" s="2"/>
      <c r="E18" s="5" t="s">
        <v>200</v>
      </c>
    </row>
    <row r="19">
      <c r="A19" s="0" t="s">
        <v>201</v>
      </c>
      <c r="B19" s="5" t="s">
        <v>202</v>
      </c>
      <c r="C19" s="8"/>
      <c r="D19" s="2"/>
      <c r="E19" s="5" t="s">
        <v>203</v>
      </c>
    </row>
    <row r="20">
      <c r="A20" s="0" t="s">
        <v>201</v>
      </c>
      <c r="B20" s="5" t="s">
        <v>204</v>
      </c>
      <c r="C20" s="8"/>
      <c r="D20" s="2"/>
      <c r="E20" s="5" t="s">
        <v>205</v>
      </c>
    </row>
    <row r="21">
      <c r="A21" s="0" t="s">
        <v>146</v>
      </c>
      <c r="B21" s="5" t="s">
        <v>206</v>
      </c>
      <c r="C21" s="8"/>
      <c r="D21" s="2"/>
      <c r="E21" s="5" t="s">
        <v>207</v>
      </c>
    </row>
    <row r="22">
      <c r="A22" s="0" t="s">
        <v>146</v>
      </c>
      <c r="B22" s="5" t="s">
        <v>208</v>
      </c>
      <c r="C22" s="8"/>
      <c r="D22" s="2"/>
      <c r="E22" s="5" t="s">
        <v>207</v>
      </c>
    </row>
    <row r="23">
      <c r="A23" s="0" t="s">
        <v>146</v>
      </c>
      <c r="B23" s="5" t="s">
        <v>209</v>
      </c>
      <c r="C23" s="8"/>
      <c r="D23" s="2"/>
      <c r="E23" s="5" t="s">
        <v>207</v>
      </c>
    </row>
    <row r="24">
      <c r="A24" s="0" t="s">
        <v>146</v>
      </c>
      <c r="B24" s="5" t="s">
        <v>210</v>
      </c>
      <c r="C24" s="8"/>
      <c r="D24" s="2"/>
      <c r="E24" s="5" t="s">
        <v>207</v>
      </c>
    </row>
    <row r="25">
      <c r="A25" s="0" t="s">
        <v>146</v>
      </c>
      <c r="B25" s="5" t="s">
        <v>211</v>
      </c>
      <c r="C25" s="8"/>
      <c r="D25" s="2"/>
      <c r="E25" s="5" t="s">
        <v>212</v>
      </c>
    </row>
    <row r="26">
      <c r="A26" s="0" t="s">
        <v>146</v>
      </c>
      <c r="B26" s="5" t="s">
        <v>213</v>
      </c>
      <c r="C26" s="8"/>
      <c r="D26" s="2"/>
      <c r="E26" s="5" t="s">
        <v>48</v>
      </c>
    </row>
    <row r="27">
      <c r="A27" s="0" t="s">
        <v>146</v>
      </c>
      <c r="B27" s="5" t="s">
        <v>214</v>
      </c>
      <c r="C27" s="8"/>
      <c r="D27" s="2"/>
      <c r="E27" s="5" t="s">
        <v>48</v>
      </c>
    </row>
  </sheetData>
</worksheet>
</file>