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easurements" sheetId="1" state="visible" r:id="rId1"/>
    <sheet xmlns:r="http://schemas.openxmlformats.org/officeDocument/2006/relationships" name="Observations" sheetId="2" state="visible" r:id="rId2"/>
  </sheets>
  <definedNames/>
</workbook>
</file>

<file path=xl/styles.xml><?xml version="1.0" encoding="utf-8"?>
<styleSheet xmlns="http://schemas.openxmlformats.org/spreadsheetml/2006/main">
  <numFmts count="0"/>
  <fonts count="6">
    <font>
      <name val="Arial"/>
      <sz val="10"/>
    </font>
    <font>
      <name val="Arial"/>
      <b val="1"/>
      <sz val="10"/>
    </font>
    <font>
      <name val="Arial"/>
      <color rgb="FF0000FF"/>
      <sz val="10"/>
    </font>
    <font>
      <name val="Arial"/>
      <b val="1"/>
      <sz val="14"/>
    </font>
    <font>
      <name val="Arial"/>
      <i val="1"/>
      <color rgb="FF666666"/>
      <sz val="10"/>
    </font>
    <font>
      <name val="Arial"/>
      <color rgb="FF008000"/>
      <sz val="10"/>
    </font>
  </fonts>
  <fills count="5">
    <fill>
      <patternFill/>
    </fill>
    <fill>
      <patternFill patternType="gray125"/>
    </fill>
    <fill>
      <patternFill patternType="solid">
        <fgColor rgb="FFFFFF99"/>
        <bgColor indexed="64"/>
      </patternFill>
    </fill>
    <fill>
      <patternFill patternType="solid">
        <fgColor rgb="FFE0E0E0"/>
        <bgColor indexed="64"/>
      </patternFill>
    </fill>
    <fill>
      <patternFill patternType="solid">
        <fgColor rgb="FFFFFF99"/>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1" fillId="0" borderId="0" pivotButton="0" quotePrefix="0" xfId="0"/>
    <xf numFmtId="0" fontId="1" fillId="3" borderId="0" pivotButton="0" quotePrefix="0" xfId="0"/>
    <xf numFmtId="0" fontId="5" fillId="0" borderId="0" applyAlignment="1" pivotButton="0" quotePrefix="0" xfId="0">
      <alignment vertical="top" wrapText="1"/>
    </xf>
    <xf numFmtId="0" fontId="0" fillId="0" borderId="0" applyAlignment="1" pivotButton="0" quotePrefix="0" xfId="0">
      <alignment vertical="top"/>
    </xf>
    <xf numFmtId="0" fontId="2" fillId="4" borderId="0" applyAlignment="1" pivotButton="0" quotePrefix="0" xfId="0">
      <alignment vertical="top"/>
    </xf>
    <xf numFmtId="0" fontId="1" fillId="0" borderId="0" applyAlignment="1" pivotButton="0" quotePrefix="0" xfId="0">
      <alignment vertical="top"/>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18"/>
  <sheetViews>
    <sheetView tabSelected="1" workbookViewId="0">
      <pane ySplit="5" topLeftCell="A6" activePane="bottomLeft" state="frozen"/>
      <selection activeCell="A1" sqref="A1"/>
    </sheetView>
  </sheetViews>
  <sheetFormatPr baseColWidth="8" defaultRowHeight="15"/>
  <cols>
    <col width="12" customWidth="1" min="1" max="1"/>
    <col width="48" customWidth="1" min="2" max="2"/>
    <col width="16" customWidth="1" min="3" max="3"/>
    <col width="9" customWidth="1" min="4" max="4"/>
    <col width="6" customWidth="1" min="5" max="5"/>
    <col width="11" customWidth="1" min="6" max="6"/>
    <col width="11" customWidth="1" min="7" max="7"/>
    <col width="8" customWidth="1" min="8" max="8"/>
    <col width="10" customWidth="1" min="9" max="9"/>
    <col width="14" customWidth="1" min="10" max="10"/>
    <col width="60" customWidth="1" min="11" max="11"/>
  </cols>
  <sheetData>
    <row r="1">
      <c r="A1" s="3" t="inlineStr">
        <is>
          <t>AtmosFX projector case: hardware measurements</t>
        </is>
      </c>
    </row>
    <row r="2">
      <c r="A2" s="4" t="inlineStr">
        <is>
          <t>Fill in the yellow cells only. Default = current value in projector_pi_case.scad. Spec = what the Tkisko TO2 manual (manuals.plus, Oct 2022), its label and product photos says, in green; it is a manufacturer figure, not a measurement, so Measured overrides it. Flag says UPDATE when |Delta| is over the tolerance ('UPDATE (spec)' when only the manual disagrees): change that parameter, then run scripts/check_clash.sh and make parts. Rows without a parameter are context for the next step.</t>
        </is>
      </c>
    </row>
    <row r="3">
      <c r="A3" s="6" t="inlineStr">
        <is>
          <t>Date measured</t>
        </is>
      </c>
      <c r="B3" s="2" t="n"/>
      <c r="C3" s="6" t="inlineStr">
        <is>
          <t>Projector</t>
        </is>
      </c>
      <c r="D3" s="8" t="inlineStr">
        <is>
          <t>Tkisko TO2 (model C11)</t>
        </is>
      </c>
    </row>
    <row r="5">
      <c r="A5" s="7" t="inlineStr">
        <is>
          <t>Group</t>
        </is>
      </c>
      <c r="B5" s="7" t="inlineStr">
        <is>
          <t>Measurement</t>
        </is>
      </c>
      <c r="C5" s="7" t="inlineStr">
        <is>
          <t>Parameter</t>
        </is>
      </c>
      <c r="D5" s="7" t="inlineStr">
        <is>
          <t>Default</t>
        </is>
      </c>
      <c r="E5" s="7" t="inlineStr">
        <is>
          <t>Unit</t>
        </is>
      </c>
      <c r="F5" s="7" t="inlineStr">
        <is>
          <t>Spec (manual)</t>
        </is>
      </c>
      <c r="G5" s="7" t="inlineStr">
        <is>
          <t>Measured</t>
        </is>
      </c>
      <c r="H5" s="7" t="inlineStr">
        <is>
          <t>Delta</t>
        </is>
      </c>
      <c r="I5" s="7" t="inlineStr">
        <is>
          <t>Tolerance</t>
        </is>
      </c>
      <c r="J5" s="7" t="inlineStr">
        <is>
          <t>Flag</t>
        </is>
      </c>
      <c r="K5" s="7" t="inlineStr">
        <is>
          <t>How to measure / notes</t>
        </is>
      </c>
    </row>
    <row r="6">
      <c r="A6" s="4" t="inlineStr">
        <is>
          <t>EXAMPLE</t>
        </is>
      </c>
      <c r="B6" s="4" t="inlineStr">
        <is>
          <t>Example: width measured 137.5 against a default of 135</t>
        </is>
      </c>
      <c r="C6" s="4" t="inlineStr">
        <is>
          <t>proj_w</t>
        </is>
      </c>
      <c r="D6" t="n">
        <v>135</v>
      </c>
      <c r="E6" t="inlineStr">
        <is>
          <t>mm</t>
        </is>
      </c>
      <c r="F6" s="8" t="n">
        <v>165</v>
      </c>
      <c r="G6" s="2" t="n">
        <v>137.5</v>
      </c>
      <c r="H6">
        <f>IF(NOT(ISNUMBER(D6)),"",IF(ISNUMBER(G6),G6-D6,IF(ISNUMBER(F6),F6-D6,"")))</f>
        <v/>
      </c>
      <c r="I6" t="n">
        <v>1</v>
      </c>
      <c r="J6" s="6">
        <f>IF(OR(H6="",I6=""),"",IF(ABS(H6)&gt;I6,IF(ISNUMBER(G6),"UPDATE","UPDATE (spec)"),"ok"))</f>
        <v/>
      </c>
      <c r="K6" s="4" t="inlineStr">
        <is>
          <t>Delete this row once you start. It only shows the expected format.</t>
        </is>
      </c>
    </row>
    <row r="7">
      <c r="A7" s="9" t="inlineStr">
        <is>
          <t>Projector</t>
        </is>
      </c>
      <c r="B7" s="5" t="inlineStr">
        <is>
          <t>Width (X, across the front)</t>
        </is>
      </c>
      <c r="C7" s="9" t="inlineStr">
        <is>
          <t>proj_w</t>
        </is>
      </c>
      <c r="D7" s="9" t="n">
        <v>165</v>
      </c>
      <c r="E7" s="9" t="inlineStr">
        <is>
          <t>mm</t>
        </is>
      </c>
      <c r="F7" s="8" t="n">
        <v>165</v>
      </c>
      <c r="G7" s="10" t="n"/>
      <c r="H7" s="9">
        <f>IF(NOT(ISNUMBER(D7)),"",IF(ISNUMBER(G7),G7-D7,IF(ISNUMBER(F7),F7-D7,"")))</f>
        <v/>
      </c>
      <c r="I7" s="9" t="n">
        <v>1</v>
      </c>
      <c r="J7" s="11">
        <f>IF(OR(H7="",I7=""),"",IF(ABS(H7)&gt;I7,IF(ISNUMBER(G7),"UPDATE","UPDATE (spec)"),"ok"))</f>
        <v/>
      </c>
      <c r="K7" s="5" t="inlineStr">
        <is>
          <t>Manual: 6.5 x 5 x 2.6 in (spec table says 6 x 5 x 2.5); lens is on the 6.5 in face (owner). Measure: the base is 231 wide with the hood, on a 250 mm axis.</t>
        </is>
      </c>
    </row>
    <row r="8">
      <c r="A8" s="9" t="inlineStr">
        <is>
          <t>Projector</t>
        </is>
      </c>
      <c r="B8" s="5" t="inlineStr">
        <is>
          <t>Depth (Y, lens face to rear face)</t>
        </is>
      </c>
      <c r="C8" s="9" t="inlineStr">
        <is>
          <t>proj_d</t>
        </is>
      </c>
      <c r="D8" s="9" t="n">
        <v>130</v>
      </c>
      <c r="E8" s="9" t="inlineStr">
        <is>
          <t>mm</t>
        </is>
      </c>
      <c r="F8" s="8" t="n">
        <v>127</v>
      </c>
      <c r="G8" s="10" t="n">
        <v>130</v>
      </c>
      <c r="H8" s="9">
        <f>IF(NOT(ISNUMBER(D8)),"",IF(ISNUMBER(G8),G8-D8,IF(ISNUMBER(F8),F8-D8,"")))</f>
        <v/>
      </c>
      <c r="I8" s="9" t="n">
        <v>1</v>
      </c>
      <c r="J8" s="11">
        <f>IF(OR(H8="",I8=""),"",IF(ABS(H8)&gt;I8,IF(ISNUMBER(G8),"UPDATE","UPDATE (spec)"),"ok"))</f>
        <v/>
      </c>
      <c r="K8" s="5" t="inlineStr">
        <is>
          <t>Measured 130.0 with calipers (photo). base_front is 207 on the 210 mm bed axis, so this cannot grow.</t>
        </is>
      </c>
    </row>
    <row r="9">
      <c r="A9" s="9" t="inlineStr">
        <is>
          <t>Projector</t>
        </is>
      </c>
      <c r="B9" s="5" t="inlineStr">
        <is>
          <t>Height (Z, underside to top)</t>
        </is>
      </c>
      <c r="C9" s="9" t="inlineStr">
        <is>
          <t>proj_h</t>
        </is>
      </c>
      <c r="D9" s="9" t="n">
        <v>66</v>
      </c>
      <c r="E9" s="9" t="inlineStr">
        <is>
          <t>mm</t>
        </is>
      </c>
      <c r="F9" s="8" t="n">
        <v>66</v>
      </c>
      <c r="G9" s="10" t="n"/>
      <c r="H9" s="9">
        <f>IF(NOT(ISNUMBER(D9)),"",IF(ISNUMBER(G9),G9-D9,IF(ISNUMBER(F9),F9-D9,"")))</f>
        <v/>
      </c>
      <c r="I9" s="9" t="n">
        <v>1</v>
      </c>
      <c r="J9" s="11">
        <f>IF(OR(H9="",I9=""),"",IF(ABS(H9)&gt;I9,IF(ISNUMBER(G9),"UPDATE","UPDATE (spec)"),"ok"))</f>
        <v/>
      </c>
      <c r="K9" s="5" t="inlineStr">
        <is>
          <t>Underside sits on the ball head plate. Manual: 2.6 in.</t>
        </is>
      </c>
    </row>
    <row r="10">
      <c r="A10" s="9" t="inlineStr">
        <is>
          <t>Projector</t>
        </is>
      </c>
      <c r="B10" s="5" t="inlineStr">
        <is>
          <t>Lens centre height above underside</t>
        </is>
      </c>
      <c r="C10" s="9" t="inlineStr">
        <is>
          <t>lens_z</t>
        </is>
      </c>
      <c r="D10" s="9" t="n">
        <v>33</v>
      </c>
      <c r="E10" s="9" t="inlineStr">
        <is>
          <t>mm</t>
        </is>
      </c>
      <c r="F10" s="8" t="n">
        <v>33</v>
      </c>
      <c r="G10" s="10" t="n"/>
      <c r="H10" s="9">
        <f>IF(NOT(ISNUMBER(D10)),"",IF(ISNUMBER(G10),G10-D10,IF(ISNUMBER(F10),F10-D10,"")))</f>
        <v/>
      </c>
      <c r="I10" s="9" t="n">
        <v>2</v>
      </c>
      <c r="J10" s="11">
        <f>IF(OR(H10="",I10=""),"",IF(ABS(H10)&gt;I10,IF(ISNUMBER(G10),"UPDATE","UPDATE (spec)"),"ok"))</f>
        <v/>
      </c>
      <c r="K10" s="5" t="inlineStr">
        <is>
          <t>Centre of the lens, not the bezel. Spec is scaled off the product photo.</t>
        </is>
      </c>
    </row>
    <row r="11">
      <c r="A11" s="9" t="inlineStr">
        <is>
          <t>Projector</t>
        </is>
      </c>
      <c r="B11" s="5" t="inlineStr">
        <is>
          <t>Lens offset from body centre (+ = right, viewed from front)</t>
        </is>
      </c>
      <c r="C11" s="9" t="inlineStr">
        <is>
          <t>lens_x</t>
        </is>
      </c>
      <c r="D11" s="9" t="n">
        <v>-20</v>
      </c>
      <c r="E11" s="9" t="inlineStr">
        <is>
          <t>mm</t>
        </is>
      </c>
      <c r="F11" s="8" t="n">
        <v>-20</v>
      </c>
      <c r="G11" s="10" t="n"/>
      <c r="H11" s="9">
        <f>IF(NOT(ISNUMBER(D11)),"",IF(ISNUMBER(G11),G11-D11,IF(ISNUMBER(F11),F11-D11,"")))</f>
        <v/>
      </c>
      <c r="I11" s="9" t="n">
        <v>2</v>
      </c>
      <c r="J11" s="11">
        <f>IF(OR(H11="",I11=""),"",IF(ABS(H11)&gt;I11,IF(ISNUMBER(G11),"UPDATE","UPDATE (spec)"),"ok"))</f>
        <v/>
      </c>
      <c r="K11" s="5" t="inlineStr">
        <is>
          <t>Lens is in the left lobe. Spec is scaled off the product photo; the window frame follows this value.</t>
        </is>
      </c>
    </row>
    <row r="12">
      <c r="A12" s="9" t="inlineStr">
        <is>
          <t>Projector</t>
        </is>
      </c>
      <c r="B12" s="5" t="inlineStr">
        <is>
          <t>1/4-20 socket offset from centre, X (+ = right)</t>
        </is>
      </c>
      <c r="C12" s="9" t="inlineStr">
        <is>
          <t>mount_x</t>
        </is>
      </c>
      <c r="D12" s="9" t="n">
        <v>19</v>
      </c>
      <c r="E12" s="9" t="inlineStr">
        <is>
          <t>mm</t>
        </is>
      </c>
      <c r="F12" s="8" t="n">
        <v>19</v>
      </c>
      <c r="G12" s="10" t="n"/>
      <c r="H12" s="9">
        <f>IF(NOT(ISNUMBER(D12)),"",IF(ISNUMBER(G12),G12-D12,IF(ISNUMBER(F12),F12-D12,"")))</f>
        <v/>
      </c>
      <c r="I12" s="9" t="n">
        <v>2</v>
      </c>
      <c r="J12" s="11">
        <f>IF(OR(H12="",I12=""),"",IF(ABS(H12)&gt;I12,IF(ISNUMBER(G12),"UPDATE","UPDATE (spec)"),"ok"))</f>
        <v/>
      </c>
      <c r="K12" s="5" t="inlineStr">
        <is>
          <t>Brass insert in the right lobe (underside photo). Spec is scaled off the photo; measure from the body centre.</t>
        </is>
      </c>
    </row>
    <row r="13">
      <c r="A13" s="9" t="inlineStr">
        <is>
          <t>Projector</t>
        </is>
      </c>
      <c r="B13" s="5" t="inlineStr">
        <is>
          <t>1/4-20 socket offset from centre, Y (+ = toward rear)</t>
        </is>
      </c>
      <c r="C13" s="9" t="inlineStr">
        <is>
          <t>mount_y</t>
        </is>
      </c>
      <c r="D13" s="9" t="n">
        <v>-4</v>
      </c>
      <c r="E13" s="9" t="inlineStr">
        <is>
          <t>mm</t>
        </is>
      </c>
      <c r="F13" s="8" t="n">
        <v>-4</v>
      </c>
      <c r="G13" s="10" t="n"/>
      <c r="H13" s="9">
        <f>IF(NOT(ISNUMBER(D13)),"",IF(ISNUMBER(G13),G13-D13,IF(ISNUMBER(F13),F13-D13,"")))</f>
        <v/>
      </c>
      <c r="I13" s="9" t="n">
        <v>2</v>
      </c>
      <c r="J13" s="11">
        <f>IF(OR(H13="",I13=""),"",IF(ABS(H13)&gt;I13,IF(ISNUMBER(G13),"UPDATE","UPDATE (spec)"),"ok"))</f>
        <v/>
      </c>
      <c r="K13" s="5" t="inlineStr">
        <is>
          <t>Slightly forward of centre in the underside photo.</t>
        </is>
      </c>
    </row>
    <row r="14">
      <c r="A14" s="9" t="inlineStr">
        <is>
          <t>Projector</t>
        </is>
      </c>
      <c r="B14" s="5" t="inlineStr">
        <is>
          <t>1/4-20 socket recess depth</t>
        </is>
      </c>
      <c r="C14" s="9" t="n"/>
      <c r="D14" s="9" t="n"/>
      <c r="E14" s="9" t="inlineStr">
        <is>
          <t>mm</t>
        </is>
      </c>
      <c r="F14" s="8" t="n"/>
      <c r="G14" s="10" t="n"/>
      <c r="H14" s="9">
        <f>IF(NOT(ISNUMBER(D14)),"",IF(ISNUMBER(G14),G14-D14,IF(ISNUMBER(F14),F14-D14,"")))</f>
        <v/>
      </c>
      <c r="I14" s="9" t="n"/>
      <c r="J14" s="11">
        <f>IF(OR(H14="",I14=""),"",IF(ABS(H14)&gt;I14,IF(ISNUMBER(G14),"UPDATE","UPDATE (spec)"),"ok"))</f>
        <v/>
      </c>
      <c r="K14" s="5" t="inlineStr">
        <is>
          <t>How far the stud must reach. Compare with the ball head stud length.</t>
        </is>
      </c>
    </row>
    <row r="15">
      <c r="A15" s="9" t="inlineStr">
        <is>
          <t>Projector</t>
        </is>
      </c>
      <c r="B15" s="5" t="inlineStr">
        <is>
          <t>DC jack centre: inset from the right edge (rear face, top-right corner)</t>
        </is>
      </c>
      <c r="C15" s="9" t="inlineStr">
        <is>
          <t>dc_jack[0]</t>
        </is>
      </c>
      <c r="D15" s="9" t="n">
        <v>15</v>
      </c>
      <c r="E15" s="9" t="inlineStr">
        <is>
          <t>mm</t>
        </is>
      </c>
      <c r="F15" s="8" t="n">
        <v>15</v>
      </c>
      <c r="G15" s="10" t="n"/>
      <c r="H15" s="9">
        <f>IF(NOT(ISNUMBER(D15)),"",IF(ISNUMBER(G15),G15-D15,IF(ISNUMBER(F15),F15-D15,"")))</f>
        <v/>
      </c>
      <c r="I15" s="9" t="n">
        <v>2</v>
      </c>
      <c r="J15" s="11">
        <f>IF(OR(H15="",I15=""),"",IF(ABS(H15)&gt;I15,IF(ISNUMBER(G15),"UPDATE","UPDATE (spec)"),"ok"))</f>
        <v/>
      </c>
      <c r="K15" s="5" t="inlineStr">
        <is>
          <t>Photo-derived (2026-10-06 owner photos); confirm with calipers. Barrel centre, measured from the projector's right edge.</t>
        </is>
      </c>
    </row>
    <row r="16">
      <c r="A16" s="9" t="inlineStr">
        <is>
          <t>Projector</t>
        </is>
      </c>
      <c r="B16" s="5" t="inlineStr">
        <is>
          <t>DC jack centre: below the projector's top</t>
        </is>
      </c>
      <c r="C16" s="9" t="inlineStr">
        <is>
          <t>dc_jack[1]</t>
        </is>
      </c>
      <c r="D16" s="9" t="n">
        <v>13</v>
      </c>
      <c r="E16" s="9" t="inlineStr">
        <is>
          <t>mm</t>
        </is>
      </c>
      <c r="F16" s="8" t="n">
        <v>13</v>
      </c>
      <c r="G16" s="10" t="n"/>
      <c r="H16" s="9">
        <f>IF(NOT(ISNUMBER(D16)),"",IF(ISNUMBER(G16),G16-D16,IF(ISNUMBER(F16),F16-D16,"")))</f>
        <v/>
      </c>
      <c r="I16" s="9" t="n">
        <v>2</v>
      </c>
      <c r="J16" s="11">
        <f>IF(OR(H16="",I16=""),"",IF(ABS(H16)&gt;I16,IF(ISNUMBER(G16),"UPDATE","UPDATE (spec)"),"ok"))</f>
        <v/>
      </c>
      <c r="K16" s="5" t="inlineStr">
        <is>
          <t>Photo-derived (2026-10-06 owner photos); confirm with calipers. Barrel centre, measured down from the top edge. Sets the DC plug keep-out; the plug must point back and stay above the intake patch.</t>
        </is>
      </c>
    </row>
    <row r="17">
      <c r="A17" s="9" t="inlineStr">
        <is>
          <t>Projector</t>
        </is>
      </c>
      <c r="B17" s="5" t="inlineStr">
        <is>
          <t>Plug protrusion behind the rear face</t>
        </is>
      </c>
      <c r="C17" s="9" t="inlineStr">
        <is>
          <t>port_depth</t>
        </is>
      </c>
      <c r="D17" s="9" t="n">
        <v>15</v>
      </c>
      <c r="E17" s="9" t="inlineStr">
        <is>
          <t>mm</t>
        </is>
      </c>
      <c r="F17" s="8" t="n"/>
      <c r="G17" s="10" t="n"/>
      <c r="H17" s="9">
        <f>IF(NOT(ISNUMBER(D17)),"",IF(ISNUMBER(G17),G17-D17,IF(ISNUMBER(F17),F17-D17,"")))</f>
        <v/>
      </c>
      <c r="I17" s="9" t="n">
        <v>3</v>
      </c>
      <c r="J17" s="11">
        <f>IF(OR(H17="",I17=""),"",IF(ABS(H17)&gt;I17,IF(ISNUMBER(G17),"UPDATE","UPDATE (spec)"),"ok"))</f>
        <v/>
      </c>
      <c r="K17" s="5" t="inlineStr">
        <is>
          <t>Right-angle DC plug standing out of the rear face, cable bent the way it will run. (HDMI is on the right face now, so this is the DC plug only.)</t>
        </is>
      </c>
    </row>
    <row r="18">
      <c r="A18" s="9" t="inlineStr">
        <is>
          <t>Projector</t>
        </is>
      </c>
      <c r="B18" s="5" t="inlineStr">
        <is>
          <t>HDMI centre behind the front face (right face I/O strip)</t>
        </is>
      </c>
      <c r="C18" s="9" t="inlineStr">
        <is>
          <t>hdmi_y</t>
        </is>
      </c>
      <c r="D18" s="9" t="n">
        <v>56</v>
      </c>
      <c r="E18" s="9" t="inlineStr">
        <is>
          <t>mm</t>
        </is>
      </c>
      <c r="F18" s="8" t="n">
        <v>56</v>
      </c>
      <c r="G18" s="10" t="n"/>
      <c r="H18" s="9">
        <f>IF(NOT(ISNUMBER(D18)),"",IF(ISNUMBER(G18),G18-D18,IF(ISNUMBER(F18),F18-D18,"")))</f>
        <v/>
      </c>
      <c r="I18" s="9" t="n">
        <v>3</v>
      </c>
      <c r="J18" s="11">
        <f>IF(OR(H18="",I18=""),"",IF(ABS(H18)&gt;I18,IF(ISNUMBER(G18),"UPDATE","UPDATE (spec)"),"ok"))</f>
        <v/>
      </c>
      <c r="K18" s="5" t="inlineStr">
        <is>
          <t>Photo-derived (2026-10-06 owner photos); confirm with calipers. The strip spans about 41-118 mm behind the front face; measure the HDMI port centre. Sets the plug keep-out (side_port_*) and where the baffle stands.</t>
        </is>
      </c>
    </row>
    <row r="19">
      <c r="A19" s="9" t="inlineStr">
        <is>
          <t>Projector</t>
        </is>
      </c>
      <c r="B19" s="5" t="inlineStr">
        <is>
          <t>Right-face I/O strip height, from the top</t>
        </is>
      </c>
      <c r="C19" s="9" t="inlineStr">
        <is>
          <t>side_port_h</t>
        </is>
      </c>
      <c r="D19" s="9" t="n">
        <v>18</v>
      </c>
      <c r="E19" s="9" t="inlineStr">
        <is>
          <t>mm</t>
        </is>
      </c>
      <c r="F19" s="8" t="n">
        <v>18</v>
      </c>
      <c r="G19" s="10" t="n"/>
      <c r="H19" s="9">
        <f>IF(NOT(ISNUMBER(D19)),"",IF(ISNUMBER(G19),G19-D19,IF(ISNUMBER(F19),F19-D19,"")))</f>
        <v/>
      </c>
      <c r="I19" s="9" t="n">
        <v>2</v>
      </c>
      <c r="J19" s="11">
        <f>IF(OR(H19="",I19=""),"",IF(ABS(H19)&gt;I19,IF(ISNUMBER(G19),"UPDATE","UPDATE (spec)"),"ok"))</f>
        <v/>
      </c>
      <c r="K19" s="5" t="inlineStr">
        <is>
          <t>Photo-derived (2026-10-06 owner photos); confirm with calipers. Top strip holding HDMI, USB and AV. Sets baffle_gap (the baffle stops this + 4 mm below the top) and the HDMI cable keep-out.</t>
        </is>
      </c>
    </row>
    <row r="20">
      <c r="A20" s="9" t="inlineStr">
        <is>
          <t>Projector</t>
        </is>
      </c>
      <c r="B20" s="5" t="inlineStr">
        <is>
          <t>Barrel plug outer diameter</t>
        </is>
      </c>
      <c r="C20" s="9" t="n"/>
      <c r="D20" s="9" t="n"/>
      <c r="E20" s="9" t="inlineStr">
        <is>
          <t>mm</t>
        </is>
      </c>
      <c r="F20" s="8" t="n"/>
      <c r="G20" s="10" t="n"/>
      <c r="H20" s="9">
        <f>IF(NOT(ISNUMBER(D20)),"",IF(ISNUMBER(G20),G20-D20,IF(ISNUMBER(F20),F20-D20,"")))</f>
        <v/>
      </c>
      <c r="I20" s="9" t="n"/>
      <c r="J20" s="11">
        <f>IF(OR(H20="",I20=""),"",IF(ABS(H20)&gt;I20,IF(ISNUMBER(G20),"UPDATE","UPDATE (spec)"),"ok"))</f>
        <v/>
      </c>
      <c r="K20" s="5" t="inlineStr">
        <is>
          <t>Sizes the relay pigtail and the inline DC fuse holder (docs/WIRING.md). Inner pin diameter in Observations.</t>
        </is>
      </c>
    </row>
    <row r="21">
      <c r="A21" s="9" t="inlineStr">
        <is>
          <t>Projector</t>
        </is>
      </c>
      <c r="B21" s="5" t="inlineStr">
        <is>
          <t>Barrel plug length, body plus strain relief</t>
        </is>
      </c>
      <c r="C21" s="9" t="n"/>
      <c r="D21" s="9" t="n"/>
      <c r="E21" s="9" t="inlineStr">
        <is>
          <t>mm</t>
        </is>
      </c>
      <c r="F21" s="8" t="n"/>
      <c r="G21" s="10" t="n"/>
      <c r="H21" s="9">
        <f>IF(NOT(ISNUMBER(D21)),"",IF(ISNUMBER(G21),G21-D21,IF(ISNUMBER(F21),F21-D21,"")))</f>
        <v/>
      </c>
      <c r="I21" s="9" t="n">
        <v>3</v>
      </c>
      <c r="J21" s="11">
        <f>IF(OR(H21="",I21=""),"",IF(ABS(H21)&gt;I21,IF(ISNUMBER(G21),"UPDATE","UPDATE (spec)"),"ok"))</f>
        <v/>
      </c>
      <c r="K21" s="5" t="inlineStr">
        <is>
          <t>Straight out from the rear face. If it is longer than the HDMI plug it sets port_depth, not the HDMI.</t>
        </is>
      </c>
    </row>
    <row r="22">
      <c r="A22" s="9" t="inlineStr">
        <is>
          <t>Projector</t>
        </is>
      </c>
      <c r="B22" s="5" t="inlineStr">
        <is>
          <t>Lens barrel protrusion past the front face</t>
        </is>
      </c>
      <c r="C22" s="9" t="n"/>
      <c r="D22" s="9" t="n"/>
      <c r="E22" s="9" t="inlineStr">
        <is>
          <t>mm</t>
        </is>
      </c>
      <c r="F22" s="8" t="n"/>
      <c r="G22" s="10" t="n"/>
      <c r="H22" s="9">
        <f>IF(NOT(ISNUMBER(D22)),"",IF(ISNUMBER(G22),G22-D22,IF(ISNUMBER(F22),F22-D22,"")))</f>
        <v/>
      </c>
      <c r="I22" s="9" t="n">
        <v>1</v>
      </c>
      <c r="J22" s="11">
        <f>IF(OR(H22="",I22=""),"",IF(ABS(H22)&gt;I22,IF(ISNUMBER(G22),"UPDATE","UPDATE (spec)"),"ok"))</f>
        <v/>
      </c>
      <c r="K22" s="5" t="inlineStr">
        <is>
          <t>0 if the lens sits behind a flush window. Anything proud eats into front_gap (30) on downward tilt.</t>
        </is>
      </c>
    </row>
    <row r="23">
      <c r="A23" s="9" t="inlineStr">
        <is>
          <t>Projector</t>
        </is>
      </c>
      <c r="B23" s="5" t="inlineStr">
        <is>
          <t>Lens bezel diameter</t>
        </is>
      </c>
      <c r="C23" s="9" t="n"/>
      <c r="D23" s="9" t="n"/>
      <c r="E23" s="9" t="inlineStr">
        <is>
          <t>mm</t>
        </is>
      </c>
      <c r="F23" s="8" t="n"/>
      <c r="G23" s="10" t="n"/>
      <c r="H23" s="9">
        <f>IF(NOT(ISNUMBER(D23)),"",IF(ISNUMBER(G23),G23-D23,IF(ISNUMBER(F23),F23-D23,"")))</f>
        <v/>
      </c>
      <c r="I23" s="9" t="n"/>
      <c r="J23" s="11">
        <f>IF(OR(H23="",I23=""),"",IF(ABS(H23)&gt;I23,IF(ISNUMBER(G23),"UPDATE","UPDATE (spec)"),"ok"))</f>
        <v/>
      </c>
      <c r="K23" s="5" t="inlineStr">
        <is>
          <t>Clear window opening is the pane minus the lap: 111 x 86 mm. The light cone, not the bezel, is what the check sweeps, so this is context.</t>
        </is>
      </c>
    </row>
    <row r="24">
      <c r="A24" s="9" t="inlineStr">
        <is>
          <t>Projector</t>
        </is>
      </c>
      <c r="B24" s="5" t="inlineStr">
        <is>
          <t>Focus wheel height above underside</t>
        </is>
      </c>
      <c r="C24" s="9" t="n"/>
      <c r="D24" s="9" t="n"/>
      <c r="E24" s="9" t="inlineStr">
        <is>
          <t>mm</t>
        </is>
      </c>
      <c r="F24" s="8" t="n"/>
      <c r="G24" s="10" t="n"/>
      <c r="H24" s="9">
        <f>IF(NOT(ISNUMBER(D24)),"",IF(ISNUMBER(G24),G24-D24,IF(ISNUMBER(F24),F24-D24,"")))</f>
        <v/>
      </c>
      <c r="I24" s="9" t="n">
        <v>5</v>
      </c>
      <c r="J24" s="11">
        <f>IF(OR(H24="",I24=""),"",IF(ABS(H24)&gt;I24,IF(ISNUMBER(G24),"UPDATE","UPDATE (spec)"),"ok"))</f>
        <v/>
      </c>
      <c r="K24" s="5" t="inlineStr">
        <is>
          <t>Which face is in Observations. The projector underside is 70 above the floor and the hatch diamond reaches 110, so only the lower 40 mm of the left face is reachable with the lid on.</t>
        </is>
      </c>
    </row>
    <row r="25">
      <c r="A25" s="9" t="inlineStr">
        <is>
          <t>Projector</t>
        </is>
      </c>
      <c r="B25" s="5" t="inlineStr">
        <is>
          <t>Keystone control height above underside</t>
        </is>
      </c>
      <c r="C25" s="9" t="n"/>
      <c r="D25" s="9" t="n"/>
      <c r="E25" s="9" t="inlineStr">
        <is>
          <t>mm</t>
        </is>
      </c>
      <c r="F25" s="8" t="n"/>
      <c r="G25" s="10" t="n"/>
      <c r="H25" s="9">
        <f>IF(NOT(ISNUMBER(D25)),"",IF(ISNUMBER(G25),G25-D25,IF(ISNUMBER(F25),F25-D25,"")))</f>
        <v/>
      </c>
      <c r="I25" s="9" t="n">
        <v>5</v>
      </c>
      <c r="J25" s="11">
        <f>IF(OR(H25="",I25=""),"",IF(ABS(H25)&gt;I25,IF(ISNUMBER(G25),"UPDATE","UPDATE (spec)"),"ok"))</f>
        <v/>
      </c>
      <c r="K25" s="5" t="inlineStr">
        <is>
          <t>Same reach limit as the focus wheel.</t>
        </is>
      </c>
    </row>
    <row r="26">
      <c r="A26" s="9" t="inlineStr">
        <is>
          <t>Projector</t>
        </is>
      </c>
      <c r="B26" s="5" t="inlineStr">
        <is>
          <t>IR receiver window height above underside (front face, above the logo)</t>
        </is>
      </c>
      <c r="C26" s="9" t="inlineStr">
        <is>
          <t>ir_z</t>
        </is>
      </c>
      <c r="D26" s="9" t="n">
        <v>50</v>
      </c>
      <c r="E26" s="9" t="inlineStr">
        <is>
          <t>mm</t>
        </is>
      </c>
      <c r="F26" s="8" t="n">
        <v>50</v>
      </c>
      <c r="G26" s="10" t="n"/>
      <c r="H26" s="9">
        <f>IF(NOT(ISNUMBER(D26)),"",IF(ISNUMBER(G26),G26-D26,IF(ISNUMBER(F26),F26-D26,"")))</f>
        <v/>
      </c>
      <c r="I26" s="9" t="n">
        <v>3</v>
      </c>
      <c r="J26" s="11">
        <f>IF(OR(H26="",I26=""),"",IF(ABS(H26)&gt;I26,IF(ISNUMBER(G26),"UPDATE","UPDATE (spec)"),"ok"))</f>
        <v/>
      </c>
      <c r="K26" s="5" t="inlineStr">
        <is>
          <t>Photo-derived (2026-10-06 owner photos); confirm with calipers. ir_holder sticks on the projector's front face here, body pointing toward the window; it fires at the receiver from inside the front gap.</t>
        </is>
      </c>
    </row>
    <row r="27">
      <c r="A27" s="9" t="inlineStr">
        <is>
          <t>Projector</t>
        </is>
      </c>
      <c r="B27" s="5" t="inlineStr">
        <is>
          <t>IR receiver position along the front face, X (+ = right of centre)</t>
        </is>
      </c>
      <c r="C27" s="9" t="inlineStr">
        <is>
          <t>ir_x</t>
        </is>
      </c>
      <c r="D27" s="9" t="n">
        <v>35</v>
      </c>
      <c r="E27" s="9" t="inlineStr">
        <is>
          <t>mm</t>
        </is>
      </c>
      <c r="F27" s="8" t="n">
        <v>35</v>
      </c>
      <c r="G27" s="10" t="n"/>
      <c r="H27" s="9">
        <f>IF(NOT(ISNUMBER(D27)),"",IF(ISNUMBER(G27),G27-D27,IF(ISNUMBER(F27),F27-D27,"")))</f>
        <v/>
      </c>
      <c r="I27" s="9" t="n">
        <v>3</v>
      </c>
      <c r="J27" s="11">
        <f>IF(OR(H27="",I27=""),"",IF(ABS(H27)&gt;I27,IF(ISNUMBER(G27),"UPDATE","UPDATE (spec)"),"ok"))</f>
        <v/>
      </c>
      <c r="K27" s="5" t="inlineStr">
        <is>
          <t>Photo-derived (2026-10-06 owner photos); confirm with calipers. Measure from the body centre.</t>
        </is>
      </c>
    </row>
    <row r="28">
      <c r="A28" s="9" t="inlineStr">
        <is>
          <t>Projector</t>
        </is>
      </c>
      <c r="B28" s="5" t="inlineStr">
        <is>
          <t>Rear intake patch: size (square)</t>
        </is>
      </c>
      <c r="C28" s="9" t="inlineStr">
        <is>
          <t>in_size</t>
        </is>
      </c>
      <c r="D28" s="9" t="n">
        <v>40</v>
      </c>
      <c r="E28" s="9" t="inlineStr">
        <is>
          <t>mm</t>
        </is>
      </c>
      <c r="F28" s="8" t="n">
        <v>40</v>
      </c>
      <c r="G28" s="10" t="n"/>
      <c r="H28" s="9">
        <f>IF(NOT(ISNUMBER(D28)),"",IF(ISNUMBER(G28),G28-D28,IF(ISNUMBER(F28),F28-D28,"")))</f>
        <v/>
      </c>
      <c r="I28" s="9" t="n">
        <v>2</v>
      </c>
      <c r="J28" s="11">
        <f>IF(OR(H28="",I28=""),"",IF(ABS(H28)&gt;I28,IF(ISNUMBER(G28),"UPDATE","UPDATE (spec)"),"ok"))</f>
        <v/>
      </c>
      <c r="K28" s="5" t="inlineStr">
        <is>
          <t>Photo-derived (2026-10-06 owner photos); confirm with calipers. The rear-face grille the inlet bank feeds; the speaker grille beside it is not an air path. Sizes the inlet opening.</t>
        </is>
      </c>
    </row>
    <row r="29">
      <c r="A29" s="9" t="inlineStr">
        <is>
          <t>Projector</t>
        </is>
      </c>
      <c r="B29" s="5" t="inlineStr">
        <is>
          <t>Rear intake patch: inset from the projector's top</t>
        </is>
      </c>
      <c r="C29" s="9" t="inlineStr">
        <is>
          <t>in_top</t>
        </is>
      </c>
      <c r="D29" s="9" t="n">
        <v>15</v>
      </c>
      <c r="E29" s="9" t="inlineStr">
        <is>
          <t>mm</t>
        </is>
      </c>
      <c r="F29" s="8" t="n">
        <v>15</v>
      </c>
      <c r="G29" s="10" t="n"/>
      <c r="H29" s="9">
        <f>IF(NOT(ISNUMBER(D29)),"",IF(ISNUMBER(G29),G29-D29,IF(ISNUMBER(F29),F29-D29,"")))</f>
        <v/>
      </c>
      <c r="I29" s="9" t="n">
        <v>2</v>
      </c>
      <c r="J29" s="11">
        <f>IF(OR(H29="",I29=""),"",IF(ABS(H29)&gt;I29,IF(ISNUMBER(G29),"UPDATE","UPDATE (spec)"),"ok"))</f>
        <v/>
      </c>
      <c r="K29" s="5" t="inlineStr">
        <is>
          <t>Photo-derived (2026-10-06 owner photos); confirm with calipers. Sets the inlet bank's height on the right wall.</t>
        </is>
      </c>
    </row>
    <row r="30">
      <c r="A30" s="9" t="inlineStr">
        <is>
          <t>Projector</t>
        </is>
      </c>
      <c r="B30" s="5" t="inlineStr">
        <is>
          <t>Exhaust grille start, behind the front face (right face)</t>
        </is>
      </c>
      <c r="C30" s="9" t="inlineStr">
        <is>
          <t>exh_y[0]</t>
        </is>
      </c>
      <c r="D30" s="9" t="n">
        <v>0</v>
      </c>
      <c r="E30" s="9" t="inlineStr">
        <is>
          <t>mm</t>
        </is>
      </c>
      <c r="F30" s="8" t="n">
        <v>0</v>
      </c>
      <c r="G30" s="10" t="n"/>
      <c r="H30" s="9">
        <f>IF(NOT(ISNUMBER(D30)),"",IF(ISNUMBER(G30),G30-D30,IF(ISNUMBER(F30),F30-D30,"")))</f>
        <v/>
      </c>
      <c r="I30" s="9" t="n">
        <v>3</v>
      </c>
      <c r="J30" s="11">
        <f>IF(OR(H30="",I30=""),"",IF(ABS(H30)&gt;I30,IF(ISNUMBER(G30),"UPDATE","UPDATE (spec)"),"ok"))</f>
        <v/>
      </c>
      <c r="K30" s="5" t="inlineStr">
        <is>
          <t>Photo-derived (2026-10-06 owner photos); confirm with calipers. Slots measured 10-42 mm; the owner says the first 40. Sets the exhaust bank's position.</t>
        </is>
      </c>
    </row>
    <row r="31">
      <c r="A31" s="9" t="inlineStr">
        <is>
          <t>Projector</t>
        </is>
      </c>
      <c r="B31" s="5" t="inlineStr">
        <is>
          <t>Exhaust grille end, behind the front face (right face)</t>
        </is>
      </c>
      <c r="C31" s="9" t="inlineStr">
        <is>
          <t>exh_y[1]</t>
        </is>
      </c>
      <c r="D31" s="9" t="n">
        <v>42</v>
      </c>
      <c r="E31" s="9" t="inlineStr">
        <is>
          <t>mm</t>
        </is>
      </c>
      <c r="F31" s="8" t="n">
        <v>42</v>
      </c>
      <c r="G31" s="10" t="n"/>
      <c r="H31" s="9">
        <f>IF(NOT(ISNUMBER(D31)),"",IF(ISNUMBER(G31),G31-D31,IF(ISNUMBER(F31),F31-D31,"")))</f>
        <v/>
      </c>
      <c r="I31" s="9" t="n">
        <v>3</v>
      </c>
      <c r="J31" s="11">
        <f>IF(OR(H31="",I31=""),"",IF(ABS(H31)&gt;I31,IF(ISNUMBER(G31),"UPDATE","UPDATE (spec)"),"ok"))</f>
        <v/>
      </c>
      <c r="K31" s="5" t="inlineStr">
        <is>
          <t>Sets the exhaust opening length (with air_margin each end). The grille spans the full projector height.</t>
        </is>
      </c>
    </row>
    <row r="32">
      <c r="A32" s="9" t="inlineStr">
        <is>
          <t>Projector</t>
        </is>
      </c>
      <c r="B32" s="5" t="inlineStr">
        <is>
          <t>Foot height on the underside</t>
        </is>
      </c>
      <c r="C32" s="9" t="n"/>
      <c r="D32" s="9" t="n"/>
      <c r="E32" s="9" t="inlineStr">
        <is>
          <t>mm</t>
        </is>
      </c>
      <c r="F32" s="8" t="n"/>
      <c r="G32" s="10" t="n"/>
      <c r="H32" s="9">
        <f>IF(NOT(ISNUMBER(D32)),"",IF(ISNUMBER(G32),G32-D32,IF(ISNUMBER(F32),F32-D32,"")))</f>
        <v/>
      </c>
      <c r="I32" s="9" t="n">
        <v>0.5</v>
      </c>
      <c r="J32" s="11">
        <f>IF(OR(H32="",I32=""),"",IF(ABS(H32)&gt;I32,IF(ISNUMBER(G32),"UPDATE","UPDATE (spec)"),"ok"))</f>
        <v/>
      </c>
      <c r="K32" s="5" t="inlineStr">
        <is>
          <t>If the feet, not the body, rest on the ball head's platform, add this to ball_head_h.</t>
        </is>
      </c>
    </row>
    <row r="33">
      <c r="A33" s="9" t="inlineStr">
        <is>
          <t>Projector</t>
        </is>
      </c>
      <c r="B33" s="5" t="inlineStr">
        <is>
          <t>Flat area around the 1/4-20 socket, diameter</t>
        </is>
      </c>
      <c r="C33" s="9" t="n"/>
      <c r="D33" s="9" t="n"/>
      <c r="E33" s="9" t="inlineStr">
        <is>
          <t>mm</t>
        </is>
      </c>
      <c r="F33" s="8" t="n"/>
      <c r="G33" s="10" t="n"/>
      <c r="H33" s="9">
        <f>IF(NOT(ISNUMBER(D33)),"",IF(ISNUMBER(G33),G33-D33,IF(ISNUMBER(F33),F33-D33,"")))</f>
        <v/>
      </c>
      <c r="I33" s="9" t="n">
        <v>2</v>
      </c>
      <c r="J33" s="11">
        <f>IF(OR(H33="",I33=""),"",IF(ABS(H33)&gt;I33,IF(ISNUMBER(G33),"UPDATE","UPDATE (spec)"),"ok"))</f>
        <v/>
      </c>
      <c r="K33" s="5" t="inlineStr">
        <is>
          <t>Must take the ball head's platform (Ball head rows). Feet or ribs inside this circle rock the mount.</t>
        </is>
      </c>
    </row>
    <row r="34">
      <c r="A34" s="9" t="inlineStr">
        <is>
          <t>Projector</t>
        </is>
      </c>
      <c r="B34" s="5" t="inlineStr">
        <is>
          <t>Weight</t>
        </is>
      </c>
      <c r="C34" s="9" t="inlineStr"/>
      <c r="D34" s="9" t="n">
        <v>720</v>
      </c>
      <c r="E34" s="9" t="inlineStr">
        <is>
          <t>g</t>
        </is>
      </c>
      <c r="F34" s="8" t="n">
        <v>454</v>
      </c>
      <c r="G34" s="10" t="n"/>
      <c r="H34" s="9">
        <f>IF(NOT(ISNUMBER(D34)),"",IF(ISNUMBER(G34),G34-D34,IF(ISNUMBER(F34),F34-D34,"")))</f>
        <v/>
      </c>
      <c r="I34" s="9" t="n">
        <v>100</v>
      </c>
      <c r="J34" s="11">
        <f>IF(OR(H34="",I34=""),"",IF(ABS(H34)&gt;I34,IF(ISNUMBER(G34),"UPDATE","UPDATE (spec)"),"ok"))</f>
        <v/>
      </c>
      <c r="K34" s="5" t="inlineStr">
        <is>
          <t>Manual: 1 lb (its spec table says 25 lb, a typo). Kitchen scale.</t>
        </is>
      </c>
    </row>
    <row r="35">
      <c r="A35" s="9" t="inlineStr">
        <is>
          <t>Projector</t>
        </is>
      </c>
      <c r="B35" s="5" t="inlineStr">
        <is>
          <t>Aspect ratio (width / height)</t>
        </is>
      </c>
      <c r="C35" s="9" t="inlineStr">
        <is>
          <t>aspect</t>
        </is>
      </c>
      <c r="D35" s="9" t="n">
        <v>1.778</v>
      </c>
      <c r="E35" s="9" t="n"/>
      <c r="F35" s="8" t="n">
        <v>1.778</v>
      </c>
      <c r="G35" s="10" t="n"/>
      <c r="H35" s="9">
        <f>IF(NOT(ISNUMBER(D35)),"",IF(ISNUMBER(G35),G35-D35,IF(ISNUMBER(F35),F35-D35,"")))</f>
        <v/>
      </c>
      <c r="I35" s="9" t="n">
        <v>0.01</v>
      </c>
      <c r="J35" s="11">
        <f>IF(OR(H35="",I35=""),"",IF(ABS(H35)&gt;I35,IF(ISNUMBER(G35),"UPDATE","UPDATE (spec)"),"ok"))</f>
        <v/>
      </c>
      <c r="K35" s="5" t="inlineStr">
        <is>
          <t>Manual: native 1280 x 720, so 16:9.</t>
        </is>
      </c>
    </row>
    <row r="36">
      <c r="A36" s="9" t="inlineStr">
        <is>
          <t>Projector</t>
        </is>
      </c>
      <c r="B36" s="5" t="inlineStr">
        <is>
          <t>Throw distance to wall (helper)</t>
        </is>
      </c>
      <c r="C36" s="9" t="n"/>
      <c r="D36" s="9" t="n"/>
      <c r="E36" s="9" t="inlineStr">
        <is>
          <t>mm</t>
        </is>
      </c>
      <c r="F36" s="8" t="n"/>
      <c r="G36" s="10" t="n"/>
      <c r="H36" s="9">
        <f>IF(NOT(ISNUMBER(D36)),"",IF(ISNUMBER(G36),G36-D36,IF(ISNUMBER(F36),F36-D36,"")))</f>
        <v/>
      </c>
      <c r="I36" s="9" t="n"/>
      <c r="J36" s="11">
        <f>IF(OR(H36="",I36=""),"",IF(ABS(H36)&gt;I36,IF(ISNUMBER(G36),"UPDATE","UPDATE (spec)"),"ok"))</f>
        <v/>
      </c>
      <c r="K36" s="5" t="inlineStr">
        <is>
          <t>Lens face to wall, projector level.</t>
        </is>
      </c>
    </row>
    <row r="37">
      <c r="A37" s="9" t="inlineStr">
        <is>
          <t>Projector</t>
        </is>
      </c>
      <c r="B37" s="5" t="inlineStr">
        <is>
          <t>Image width at that distance (helper)</t>
        </is>
      </c>
      <c r="C37" s="9" t="n"/>
      <c r="D37" s="9" t="n"/>
      <c r="E37" s="9" t="inlineStr">
        <is>
          <t>mm</t>
        </is>
      </c>
      <c r="F37" s="8" t="n"/>
      <c r="G37" s="10" t="n"/>
      <c r="H37" s="9">
        <f>IF(NOT(ISNUMBER(D37)),"",IF(ISNUMBER(G37),G37-D37,IF(ISNUMBER(F37),F37-D37,"")))</f>
        <v/>
      </c>
      <c r="I37" s="9" t="n"/>
      <c r="J37" s="11">
        <f>IF(OR(H37="",I37=""),"",IF(ABS(H37)&gt;I37,IF(ISNUMBER(G37),"UPDATE","UPDATE (spec)"),"ok"))</f>
        <v/>
      </c>
      <c r="K37" s="5" t="n"/>
    </row>
    <row r="38">
      <c r="A38" s="9" t="inlineStr">
        <is>
          <t>Projector</t>
        </is>
      </c>
      <c r="B38" s="5" t="inlineStr">
        <is>
          <t>Throw ratio</t>
        </is>
      </c>
      <c r="C38" s="9" t="inlineStr">
        <is>
          <t>throw_ratio</t>
        </is>
      </c>
      <c r="D38" s="9" t="n">
        <v>0.95</v>
      </c>
      <c r="E38" s="9" t="n"/>
      <c r="F38" s="8" t="n">
        <v>0.95</v>
      </c>
      <c r="G38" s="11">
        <f>IF(AND(ISNUMBER(G36),ISNUMBER(G37),G37&gt;0),ROUND(G36/G37,2),"")</f>
        <v/>
      </c>
      <c r="H38" s="9">
        <f>IF(NOT(ISNUMBER(D38)),"",IF(ISNUMBER(G38),G38-D38,IF(ISNUMBER(F38),F38-D38,"")))</f>
        <v/>
      </c>
      <c r="I38" s="9" t="n">
        <v>0.1</v>
      </c>
      <c r="J38" s="11">
        <f>IF(OR(H38="",I38=""),"",IF(ABS(H38)&gt;I38,IF(ISNUMBER(G38),"UPDATE","UPDATE (spec)"),"ok"))</f>
        <v/>
      </c>
      <c r="K38" s="5" t="inlineStr">
        <is>
          <t>Spec is derived from the manual's image sizes (36 in at 2.5 ft, 72 in at 5 ft, 150 in at 10 ft: 0.92 to 0.96; 250 in at 16 ft gives 0.88). Measured is computed from the two helper rows above. Do not type here.</t>
        </is>
      </c>
    </row>
    <row r="39">
      <c r="A39" s="9" t="inlineStr">
        <is>
          <t>Projector</t>
        </is>
      </c>
      <c r="B39" s="5" t="inlineStr">
        <is>
          <t>Image height at that distance (helper)</t>
        </is>
      </c>
      <c r="C39" s="9" t="n"/>
      <c r="D39" s="9" t="n"/>
      <c r="E39" s="9" t="inlineStr">
        <is>
          <t>mm</t>
        </is>
      </c>
      <c r="F39" s="8" t="n"/>
      <c r="G39" s="10" t="n"/>
      <c r="H39" s="9">
        <f>IF(NOT(ISNUMBER(D39)),"",IF(ISNUMBER(G39),G39-D39,IF(ISNUMBER(F39),F39-D39,"")))</f>
        <v/>
      </c>
      <c r="I39" s="9" t="n"/>
      <c r="J39" s="11">
        <f>IF(OR(H39="",I39=""),"",IF(ABS(H39)&gt;I39,IF(ISNUMBER(G39),"UPDATE","UPDATE (spec)"),"ok"))</f>
        <v/>
      </c>
      <c r="K39" s="5" t="n"/>
    </row>
    <row r="40">
      <c r="A40" s="9" t="inlineStr">
        <is>
          <t>Projector</t>
        </is>
      </c>
      <c r="B40" s="5" t="inlineStr">
        <is>
          <t>Image bottom edge above lens axis (helper, negative if below)</t>
        </is>
      </c>
      <c r="C40" s="9" t="n"/>
      <c r="D40" s="9" t="n"/>
      <c r="E40" s="9" t="inlineStr">
        <is>
          <t>mm</t>
        </is>
      </c>
      <c r="F40" s="8" t="n"/>
      <c r="G40" s="10" t="n"/>
      <c r="H40" s="9">
        <f>IF(NOT(ISNUMBER(D40)),"",IF(ISNUMBER(G40),G40-D40,IF(ISNUMBER(F40),F40-D40,"")))</f>
        <v/>
      </c>
      <c r="I40" s="9" t="n"/>
      <c r="J40" s="11">
        <f>IF(OR(H40="",I40=""),"",IF(ABS(H40)&gt;I40,IF(ISNUMBER(G40),"UPDATE","UPDATE (spec)"),"ok"))</f>
        <v/>
      </c>
      <c r="K40" s="5" t="inlineStr">
        <is>
          <t>Lens axis = lens centre height on the wall, projector level.</t>
        </is>
      </c>
    </row>
    <row r="41">
      <c r="A41" s="9" t="inlineStr">
        <is>
          <t>Projector</t>
        </is>
      </c>
      <c r="B41" s="5" t="inlineStr">
        <is>
          <t>Lens offset (0 = centred on axis, 1 = bottom on axis)</t>
        </is>
      </c>
      <c r="C41" s="9" t="inlineStr">
        <is>
          <t>lens_offset</t>
        </is>
      </c>
      <c r="D41" s="9" t="n">
        <v>0</v>
      </c>
      <c r="E41" s="9" t="n"/>
      <c r="F41" s="8" t="n"/>
      <c r="G41" s="11">
        <f>IF(AND(ISNUMBER(G39),ISNUMBER(G40),G39&gt;0),ROUND(2*G40/G39+1,2),"")</f>
        <v/>
      </c>
      <c r="H41" s="9">
        <f>IF(NOT(ISNUMBER(D41)),"",IF(ISNUMBER(G41),G41-D41,IF(ISNUMBER(F41),F41-D41,"")))</f>
        <v/>
      </c>
      <c r="I41" s="9" t="n">
        <v>0.1</v>
      </c>
      <c r="J41" s="11">
        <f>IF(OR(H41="",I41=""),"",IF(ABS(H41)&gt;I41,IF(ISNUMBER(G41),"UPDATE","UPDATE (spec)"),"ok"))</f>
        <v/>
      </c>
      <c r="K41" s="5" t="inlineStr">
        <is>
          <t>Computed: 2 x bottom / height + 1. Do not type here.</t>
        </is>
      </c>
    </row>
    <row r="42">
      <c r="A42" s="9" t="inlineStr">
        <is>
          <t>Projector</t>
        </is>
      </c>
      <c r="B42" s="5" t="inlineStr">
        <is>
          <t>Power draw</t>
        </is>
      </c>
      <c r="C42" s="9" t="n"/>
      <c r="D42" s="9" t="n"/>
      <c r="E42" s="9" t="inlineStr">
        <is>
          <t>W</t>
        </is>
      </c>
      <c r="F42" s="8" t="n">
        <v>50</v>
      </c>
      <c r="G42" s="10" t="n"/>
      <c r="H42" s="9">
        <f>IF(NOT(ISNUMBER(D42)),"",IF(ISNUMBER(G42),G42-D42,IF(ISNUMBER(F42),F42-D42,"")))</f>
        <v/>
      </c>
      <c r="I42" s="9" t="n"/>
      <c r="J42" s="11">
        <f>IF(OR(H42="",I42=""),"",IF(ABS(H42)&gt;I42,IF(ISNUMBER(G42),"UPDATE","UPDATE (spec)"),"ok"))</f>
        <v/>
      </c>
      <c r="K42" s="5" t="inlineStr">
        <is>
          <t>Manual: 50 W. Compare with the brick's rating (120 W) and the Y-splitter's lead rating.</t>
        </is>
      </c>
    </row>
    <row r="43">
      <c r="A43" s="9" t="inlineStr">
        <is>
          <t>Ball head</t>
        </is>
      </c>
      <c r="B43" s="5" t="inlineStr">
        <is>
          <t>Height, base to top of stud, head level</t>
        </is>
      </c>
      <c r="C43" s="9" t="inlineStr">
        <is>
          <t>ball_head_h</t>
        </is>
      </c>
      <c r="D43" s="9" t="n">
        <v>40</v>
      </c>
      <c r="E43" s="9" t="inlineStr">
        <is>
          <t>mm</t>
        </is>
      </c>
      <c r="F43" s="8" t="n"/>
      <c r="G43" s="10" t="n"/>
      <c r="H43" s="9">
        <f>IF(NOT(ISNUMBER(D43)),"",IF(ISNUMBER(G43),G43-D43,IF(ISNUMBER(F43),F43-D43,"")))</f>
        <v/>
      </c>
      <c r="I43" s="9" t="n">
        <v>2</v>
      </c>
      <c r="J43" s="11">
        <f>IF(OR(H43="",I43=""),"",IF(ABS(H43)&gt;I43,IF(ISNUMBER(G43),"UPDATE","UPDATE (spec)"),"ok"))</f>
        <v/>
      </c>
      <c r="K43" s="5" t="n"/>
    </row>
    <row r="44">
      <c r="A44" s="9" t="inlineStr">
        <is>
          <t>Ball head</t>
        </is>
      </c>
      <c r="B44" s="5" t="inlineStr">
        <is>
          <t>Ball centre above base</t>
        </is>
      </c>
      <c r="C44" s="9" t="inlineStr">
        <is>
          <t>pivot_h</t>
        </is>
      </c>
      <c r="D44" s="9" t="n">
        <v>25</v>
      </c>
      <c r="E44" s="9" t="inlineStr">
        <is>
          <t>mm</t>
        </is>
      </c>
      <c r="F44" s="8" t="n"/>
      <c r="G44" s="10" t="n"/>
      <c r="H44" s="9">
        <f>IF(NOT(ISNUMBER(D44)),"",IF(ISNUMBER(G44),G44-D44,IF(ISNUMBER(F44),F44-D44,"")))</f>
        <v/>
      </c>
      <c r="I44" s="9" t="n">
        <v>2</v>
      </c>
      <c r="J44" s="11">
        <f>IF(OR(H44="",I44=""),"",IF(ABS(H44)&gt;I44,IF(ISNUMBER(G44),"UPDATE","UPDATE (spec)"),"ok"))</f>
        <v/>
      </c>
      <c r="K44" s="5" t="inlineStr">
        <is>
          <t>The aim pivot.</t>
        </is>
      </c>
    </row>
    <row r="45">
      <c r="A45" s="9" t="inlineStr">
        <is>
          <t>Ball head</t>
        </is>
      </c>
      <c r="B45" s="5" t="inlineStr">
        <is>
          <t>Base diameter</t>
        </is>
      </c>
      <c r="C45" s="9" t="n"/>
      <c r="D45" s="9" t="n"/>
      <c r="E45" s="9" t="inlineStr">
        <is>
          <t>mm</t>
        </is>
      </c>
      <c r="F45" s="8" t="n"/>
      <c r="G45" s="10" t="n"/>
      <c r="H45" s="9">
        <f>IF(NOT(ISNUMBER(D45)),"",IF(ISNUMBER(G45),G45-D45,IF(ISNUMBER(F45),F45-D45,"")))</f>
        <v/>
      </c>
      <c r="I45" s="9" t="n"/>
      <c r="J45" s="11">
        <f>IF(OR(H45="",I45=""),"",IF(ABS(H45)&gt;I45,IF(ISNUMBER(G45),"UPDATE","UPDATE (spec)"),"ok"))</f>
        <v/>
      </c>
      <c r="K45" s="5" t="inlineStr">
        <is>
          <t>Must sit on the 40 mm pedestal top.</t>
        </is>
      </c>
    </row>
    <row r="46">
      <c r="A46" s="9" t="inlineStr">
        <is>
          <t>Ball head</t>
        </is>
      </c>
      <c r="B46" s="5" t="inlineStr">
        <is>
          <t>Lock knob height above base</t>
        </is>
      </c>
      <c r="C46" s="9" t="n"/>
      <c r="D46" s="9" t="n"/>
      <c r="E46" s="9" t="inlineStr">
        <is>
          <t>mm</t>
        </is>
      </c>
      <c r="F46" s="8" t="n"/>
      <c r="G46" s="10" t="n"/>
      <c r="H46" s="9">
        <f>IF(NOT(ISNUMBER(D46)),"",IF(ISNUMBER(G46),G46-D46,IF(ISNUMBER(F46),F46-D46,"")))</f>
        <v/>
      </c>
      <c r="I46" s="9" t="n"/>
      <c r="J46" s="11">
        <f>IF(OR(H46="",I46=""),"",IF(ABS(H46)&gt;I46,IF(ISNUMBER(G46),"UPDATE","UPDATE (spec)"),"ok"))</f>
        <v/>
      </c>
      <c r="K46" s="5" t="inlineStr">
        <is>
          <t>Hatch centre is hatch_zc (56) above the floor; pedestal top is 30, so the ball sits about 55. Knob must land in the diamond (108 mm tip to tip).</t>
        </is>
      </c>
    </row>
    <row r="47">
      <c r="A47" s="9" t="inlineStr">
        <is>
          <t>Ball head</t>
        </is>
      </c>
      <c r="B47" s="5" t="inlineStr">
        <is>
          <t>Stud thread length</t>
        </is>
      </c>
      <c r="C47" s="9" t="n"/>
      <c r="D47" s="9" t="n"/>
      <c r="E47" s="9" t="inlineStr">
        <is>
          <t>mm</t>
        </is>
      </c>
      <c r="F47" s="8" t="n"/>
      <c r="G47" s="10" t="n"/>
      <c r="H47" s="9">
        <f>IF(NOT(ISNUMBER(D47)),"",IF(ISNUMBER(G47),G47-D47,IF(ISNUMBER(F47),F47-D47,"")))</f>
        <v/>
      </c>
      <c r="I47" s="9" t="n">
        <v>0.5</v>
      </c>
      <c r="J47" s="11">
        <f>IF(OR(H47="",I47=""),"",IF(ABS(H47)&gt;I47,IF(ISNUMBER(G47),"UPDATE","UPDATE (spec)"),"ok"))</f>
        <v/>
      </c>
      <c r="K47" s="5" t="inlineStr">
        <is>
          <t>Compare with the socket recess depth. Too long bottoms out before it clamps; too short strips the socket.</t>
        </is>
      </c>
    </row>
    <row r="48">
      <c r="A48" s="9" t="inlineStr">
        <is>
          <t>Ball head</t>
        </is>
      </c>
      <c r="B48" s="5" t="inlineStr">
        <is>
          <t>Platform diameter under the stud</t>
        </is>
      </c>
      <c r="C48" s="9" t="n"/>
      <c r="D48" s="9" t="n"/>
      <c r="E48" s="9" t="inlineStr">
        <is>
          <t>mm</t>
        </is>
      </c>
      <c r="F48" s="8" t="n"/>
      <c r="G48" s="10" t="n"/>
      <c r="H48" s="9">
        <f>IF(NOT(ISNUMBER(D48)),"",IF(ISNUMBER(G48),G48-D48,IF(ISNUMBER(F48),F48-D48,"")))</f>
        <v/>
      </c>
      <c r="I48" s="9" t="n">
        <v>1</v>
      </c>
      <c r="J48" s="11">
        <f>IF(OR(H48="",I48=""),"",IF(ABS(H48)&gt;I48,IF(ISNUMBER(G48),"UPDATE","UPDATE (spec)"),"ok"))</f>
        <v/>
      </c>
      <c r="K48" s="5" t="inlineStr">
        <is>
          <t>Has to sit inside the projector's flat area.</t>
        </is>
      </c>
    </row>
    <row r="49">
      <c r="A49" s="9" t="inlineStr">
        <is>
          <t>Ball head</t>
        </is>
      </c>
      <c r="B49" s="5" t="inlineStr">
        <is>
          <t>Base thread diameter (1/4-20 = 6.35, 3/8-16 = 9.5)</t>
        </is>
      </c>
      <c r="C49" s="9" t="n"/>
      <c r="D49" s="9" t="n"/>
      <c r="E49" s="9" t="inlineStr">
        <is>
          <t>mm</t>
        </is>
      </c>
      <c r="F49" s="8" t="n"/>
      <c r="G49" s="10" t="n"/>
      <c r="H49" s="9">
        <f>IF(NOT(ISNUMBER(D49)),"",IF(ISNUMBER(G49),G49-D49,IF(ISNUMBER(F49),F49-D49,"")))</f>
        <v/>
      </c>
      <c r="I49" s="9" t="n">
        <v>0.3</v>
      </c>
      <c r="J49" s="11">
        <f>IF(OR(H49="",I49=""),"",IF(ABS(H49)&gt;I49,IF(ISNUMBER(G49),"UPDATE","UPDATE (spec)"),"ok"))</f>
        <v/>
      </c>
      <c r="K49" s="5" t="inlineStr">
        <is>
          <t>The pedestal column takes a 1/4-20 insert (insert_d). A 3/8-16 base needs a reducer bushing.</t>
        </is>
      </c>
    </row>
    <row r="50">
      <c r="A50" s="9" t="inlineStr">
        <is>
          <t>Ball head</t>
        </is>
      </c>
      <c r="B50" s="5" t="inlineStr">
        <is>
          <t>Lock knob diameter</t>
        </is>
      </c>
      <c r="C50" s="9" t="n"/>
      <c r="D50" s="9" t="n"/>
      <c r="E50" s="9" t="inlineStr">
        <is>
          <t>mm</t>
        </is>
      </c>
      <c r="F50" s="8" t="n"/>
      <c r="G50" s="10" t="n"/>
      <c r="H50" s="9">
        <f>IF(NOT(ISNUMBER(D50)),"",IF(ISNUMBER(G50),G50-D50,IF(ISNUMBER(F50),F50-D50,"")))</f>
        <v/>
      </c>
      <c r="I50" s="9" t="n">
        <v>2</v>
      </c>
      <c r="J50" s="11">
        <f>IF(OR(H50="",I50=""),"",IF(ABS(H50)&gt;I50,IF(ISNUMBER(G50),"UPDATE","UPDATE (spec)"),"ok"))</f>
        <v/>
      </c>
      <c r="K50" s="5" t="inlineStr">
        <is>
          <t>Knob plus the fingers that turn it must fit the 108 mm diamond.</t>
        </is>
      </c>
    </row>
    <row r="51">
      <c r="A51" s="9" t="inlineStr">
        <is>
          <t>Ball head</t>
        </is>
      </c>
      <c r="B51" s="5" t="inlineStr">
        <is>
          <t>Lock knob reach from the ball centre, horizontal</t>
        </is>
      </c>
      <c r="C51" s="9" t="n"/>
      <c r="D51" s="9" t="n"/>
      <c r="E51" s="9" t="inlineStr">
        <is>
          <t>mm</t>
        </is>
      </c>
      <c r="F51" s="8" t="n"/>
      <c r="G51" s="10" t="n"/>
      <c r="H51" s="9">
        <f>IF(NOT(ISNUMBER(D51)),"",IF(ISNUMBER(G51),G51-D51,IF(ISNUMBER(F51),F51-D51,"")))</f>
        <v/>
      </c>
      <c r="I51" s="9" t="n">
        <v>2</v>
      </c>
      <c r="J51" s="11">
        <f>IF(OR(H51="",I51=""),"",IF(ABS(H51)&gt;I51,IF(ISNUMBER(G51),"UPDATE","UPDATE (spec)"),"ok"))</f>
        <v/>
      </c>
      <c r="K51" s="5" t="inlineStr">
        <is>
          <t>Ball centre to knob tip. The ball sits about 55 above the floor and roughly centred in X, so this says where the knob lands in the hatch.</t>
        </is>
      </c>
    </row>
    <row r="52">
      <c r="A52" s="9" t="inlineStr">
        <is>
          <t>Ball head</t>
        </is>
      </c>
      <c r="B52" s="5" t="inlineStr">
        <is>
          <t>Tilt before the projector body hits the head</t>
        </is>
      </c>
      <c r="C52" s="9" t="inlineStr">
        <is>
          <t>aim_max</t>
        </is>
      </c>
      <c r="D52" s="9" t="n">
        <v>15</v>
      </c>
      <c r="E52" s="9" t="inlineStr">
        <is>
          <t>deg</t>
        </is>
      </c>
      <c r="F52" s="8" t="n"/>
      <c r="G52" s="10" t="n"/>
      <c r="H52" s="9">
        <f>IF(NOT(ISNUMBER(D52)),"",IF(ISNUMBER(G52),G52-D52,IF(ISNUMBER(F52),F52-D52,"")))</f>
        <v/>
      </c>
      <c r="I52" s="9" t="n">
        <v>1</v>
      </c>
      <c r="J52" s="11">
        <f>IF(OR(H52="",I52=""),"",IF(ABS(H52)&gt;I52,IF(ISNUMBER(G52),"UPDATE","UPDATE (spec)"),"ok"))</f>
        <v/>
      </c>
      <c r="K52" s="5" t="inlineStr">
        <is>
          <t>Projector mounted, tilt until it touches.</t>
        </is>
      </c>
    </row>
    <row r="53">
      <c r="A53" s="9" t="inlineStr">
        <is>
          <t>Power brick</t>
        </is>
      </c>
      <c r="B53" s="5" t="inlineStr">
        <is>
          <t>Brick length (X on the shelf)</t>
        </is>
      </c>
      <c r="C53" s="9" t="inlineStr">
        <is>
          <t>brick[0]</t>
        </is>
      </c>
      <c r="D53" s="9" t="n">
        <v>150</v>
      </c>
      <c r="E53" s="9" t="inlineStr">
        <is>
          <t>mm</t>
        </is>
      </c>
      <c r="F53" s="8" t="n"/>
      <c r="G53" s="10" t="n"/>
      <c r="H53" s="9">
        <f>IF(NOT(ISNUMBER(D53)),"",IF(ISNUMBER(G53),G53-D53,IF(ISNUMBER(F53),F53-D53,"")))</f>
        <v/>
      </c>
      <c r="I53" s="9" t="n">
        <v>2</v>
      </c>
      <c r="J53" s="11">
        <f>IF(OR(H53="",I53=""),"",IF(ABS(H53)&gt;I53,IF(ISNUMBER(G53),"UPDATE","UPDATE (spec)"),"ok"))</f>
        <v/>
      </c>
      <c r="K53" s="5" t="inlineStr">
        <is>
          <t>PROVISIONAL (typical 120 W desktop brick). Measure the Parts Express brick with calipers on arrival.</t>
        </is>
      </c>
    </row>
    <row r="54">
      <c r="A54" s="9" t="inlineStr">
        <is>
          <t>Power brick</t>
        </is>
      </c>
      <c r="B54" s="5" t="inlineStr">
        <is>
          <t>Brick width (Y on the shelf)</t>
        </is>
      </c>
      <c r="C54" s="9" t="inlineStr">
        <is>
          <t>brick[1]</t>
        </is>
      </c>
      <c r="D54" s="9" t="n">
        <v>60</v>
      </c>
      <c r="E54" s="9" t="inlineStr">
        <is>
          <t>mm</t>
        </is>
      </c>
      <c r="F54" s="8" t="n"/>
      <c r="G54" s="10" t="n"/>
      <c r="H54" s="9">
        <f>IF(NOT(ISNUMBER(D54)),"",IF(ISNUMBER(G54),G54-D54,IF(ISNUMBER(F54),F54-D54,"")))</f>
        <v/>
      </c>
      <c r="I54" s="9" t="n">
        <v>2</v>
      </c>
      <c r="J54" s="11">
        <f>IF(OR(H54="",I54=""),"",IF(ABS(H54)&gt;I54,IF(ISNUMBER(G54),"UPDATE","UPDATE (spec)"),"ok"))</f>
        <v/>
      </c>
      <c r="K54" s="5" t="inlineStr">
        <is>
          <t>PROVISIONAL (typical 120 W desktop brick). Measure the Parts Express brick with calipers on arrival.</t>
        </is>
      </c>
    </row>
    <row r="55">
      <c r="A55" s="9" t="inlineStr">
        <is>
          <t>Power brick</t>
        </is>
      </c>
      <c r="B55" s="5" t="inlineStr">
        <is>
          <t>Brick height (Z)</t>
        </is>
      </c>
      <c r="C55" s="9" t="inlineStr">
        <is>
          <t>brick[2]</t>
        </is>
      </c>
      <c r="D55" s="9" t="n">
        <v>38</v>
      </c>
      <c r="E55" s="9" t="inlineStr">
        <is>
          <t>mm</t>
        </is>
      </c>
      <c r="F55" s="8" t="n"/>
      <c r="G55" s="10" t="n"/>
      <c r="H55" s="9">
        <f>IF(NOT(ISNUMBER(D55)),"",IF(ISNUMBER(G55),G55-D55,IF(ISNUMBER(F55),F55-D55,"")))</f>
        <v/>
      </c>
      <c r="I55" s="9" t="n">
        <v>2</v>
      </c>
      <c r="J55" s="11">
        <f>IF(OR(H55="",I55=""),"",IF(ABS(H55)&gt;I55,IF(ISNUMBER(G55),"UPDATE","UPDATE (spec)"),"ok"))</f>
        <v/>
      </c>
      <c r="K55" s="5" t="inlineStr">
        <is>
          <t>PROVISIONAL (typical 120 W desktop brick). Measure the Parts Express brick with calipers on arrival.</t>
        </is>
      </c>
    </row>
    <row r="56">
      <c r="A56" s="9" t="inlineStr">
        <is>
          <t>DC brick</t>
        </is>
      </c>
      <c r="B56" s="5" t="inlineStr">
        <is>
          <t>Output voltage</t>
        </is>
      </c>
      <c r="C56" s="9" t="n"/>
      <c r="D56" s="9" t="n">
        <v>21</v>
      </c>
      <c r="E56" s="9" t="inlineStr">
        <is>
          <t>V</t>
        </is>
      </c>
      <c r="F56" s="8" t="n"/>
      <c r="G56" s="10" t="n"/>
      <c r="H56" s="9">
        <f>IF(NOT(ISNUMBER(D56)),"",IF(ISNUMBER(G56),G56-D56,IF(ISNUMBER(F56),F56-D56,"")))</f>
        <v/>
      </c>
      <c r="I56" s="9" t="n">
        <v>0.5</v>
      </c>
      <c r="J56" s="11">
        <f>IF(OR(H56="",I56=""),"",IF(ABS(H56)&gt;I56,IF(ISNUMBER(G56),"UPDATE","UPDATE (spec)"),"ok"))</f>
        <v/>
      </c>
      <c r="K56" s="5" t="inlineStr">
        <is>
          <t>Brick: 24 V (Parts Express). Projector label 21 V: BRINGUP row 4a</t>
        </is>
      </c>
    </row>
    <row r="57">
      <c r="A57" s="9" t="inlineStr">
        <is>
          <t>DC brick</t>
        </is>
      </c>
      <c r="B57" s="5" t="inlineStr">
        <is>
          <t>Output current</t>
        </is>
      </c>
      <c r="C57" s="9" t="n"/>
      <c r="D57" s="9" t="n"/>
      <c r="E57" s="9" t="inlineStr">
        <is>
          <t>A</t>
        </is>
      </c>
      <c r="F57" s="8" t="n"/>
      <c r="G57" s="10" t="n"/>
      <c r="H57" s="9">
        <f>IF(NOT(ISNUMBER(D57)),"",IF(ISNUMBER(G57),G57-D57,IF(ISNUMBER(F57),F57-D57,"")))</f>
        <v/>
      </c>
      <c r="I57" s="9" t="n"/>
      <c r="J57" s="11">
        <f>IF(OR(H57="",I57=""),"",IF(ABS(H57)&gt;I57,IF(ISNUMBER(G57),"UPDATE","UPDATE (spec)"),"ok"))</f>
        <v/>
      </c>
      <c r="K57" s="5" t="inlineStr">
        <is>
          <t>Brick: 5 A (120 W). Read the label</t>
        </is>
      </c>
    </row>
    <row r="58">
      <c r="A58" s="9" t="inlineStr">
        <is>
          <t>DC brick</t>
        </is>
      </c>
      <c r="B58" s="5" t="inlineStr">
        <is>
          <t>Input current</t>
        </is>
      </c>
      <c r="C58" s="9" t="n"/>
      <c r="D58" s="9" t="n"/>
      <c r="E58" s="9" t="inlineStr">
        <is>
          <t>A</t>
        </is>
      </c>
      <c r="F58" s="8" t="n"/>
      <c r="G58" s="10" t="n"/>
      <c r="H58" s="9">
        <f>IF(NOT(ISNUMBER(D58)),"",IF(ISNUMBER(G58),G58-D58,IF(ISNUMBER(F58),F58-D58,"")))</f>
        <v/>
      </c>
      <c r="I58" s="9" t="n"/>
      <c r="J58" s="11">
        <f>IF(OR(H58="",I58=""),"",IF(ABS(H58)&gt;I58,IF(ISNUMBER(G58),"UPDATE","UPDATE (spec)"),"ok"))</f>
        <v/>
      </c>
      <c r="K58" s="5" t="inlineStr">
        <is>
          <t>Read the brick's label (no AC fuse is fitted)</t>
        </is>
      </c>
    </row>
    <row r="59">
      <c r="A59" s="9" t="inlineStr">
        <is>
          <t>DC brick</t>
        </is>
      </c>
      <c r="B59" s="5" t="inlineStr">
        <is>
          <t>AC cord outer diameter</t>
        </is>
      </c>
      <c r="C59" s="9" t="inlineStr">
        <is>
          <t>cord_d</t>
        </is>
      </c>
      <c r="D59" s="9" t="n"/>
      <c r="E59" s="9" t="inlineStr">
        <is>
          <t>mm</t>
        </is>
      </c>
      <c r="F59" s="8" t="n"/>
      <c r="G59" s="10" t="n"/>
      <c r="H59" s="9">
        <f>IF(NOT(ISNUMBER(D59)),"",IF(ISNUMBER(G59),G59-D59,IF(ISNUMBER(F59),F59-D59,"")))</f>
        <v/>
      </c>
      <c r="I59" s="9" t="n"/>
      <c r="J59" s="11">
        <f>IF(OR(H59="",I59=""),"",IF(ABS(H59)&gt;I59,IF(ISNUMBER(G59),"UPDATE","UPDATE (spec)"),"ok"))</f>
        <v/>
      </c>
      <c r="K59" s="5" t="inlineStr">
        <is>
          <t>Outer diameter of the brick's standard molded AC cord, where it passes the rear-wall opening and the cord clamp. Sets `cord_d` (PROVISIONAL 9). The connector's face size sets `cord_open`.</t>
        </is>
      </c>
    </row>
    <row r="60">
      <c r="A60" s="9" t="inlineStr">
        <is>
          <t>DC brick</t>
        </is>
      </c>
      <c r="B60" s="5" t="inlineStr">
        <is>
          <t>DC cable length, brick to barrel plug</t>
        </is>
      </c>
      <c r="C60" s="9" t="n"/>
      <c r="D60" s="9" t="n"/>
      <c r="E60" s="9" t="inlineStr">
        <is>
          <t>mm</t>
        </is>
      </c>
      <c r="F60" s="8" t="n"/>
      <c r="G60" s="10" t="n"/>
      <c r="H60" s="9">
        <f>IF(NOT(ISNUMBER(D60)),"",IF(ISNUMBER(G60),G60-D60,IF(ISNUMBER(F60),F60-D60,"")))</f>
        <v/>
      </c>
      <c r="I60" s="9" t="n">
        <v>50</v>
      </c>
      <c r="J60" s="11">
        <f>IF(OR(H60="",I60=""),"",IF(ABS(H60)&gt;I60,IF(ISNUMBER(G60),"UPDATE","UPDATE (spec)"),"ok"))</f>
        <v/>
      </c>
      <c r="K60" s="5" t="inlineStr">
        <is>
          <t>Brick's DC cord to the Y-splitter, then the splitter's legs to the projector's rear jack (at 15 deg up-tilt) and to the DigiAMP+. Spare goes in a loop on the low-voltage side, not coiled by the brick. A relay, if built, is spliced in leg 1.</t>
        </is>
      </c>
    </row>
    <row r="61">
      <c r="A61" s="9" t="inlineStr">
        <is>
          <t>DC brick</t>
        </is>
      </c>
      <c r="B61" s="5" t="inlineStr">
        <is>
          <t>AC cord length, brick to rear-wall opening</t>
        </is>
      </c>
      <c r="C61" s="9" t="n"/>
      <c r="D61" s="9" t="n"/>
      <c r="E61" s="9" t="inlineStr">
        <is>
          <t>mm</t>
        </is>
      </c>
      <c r="F61" s="8" t="n"/>
      <c r="G61" s="10" t="n"/>
      <c r="H61" s="9">
        <f>IF(NOT(ISNUMBER(D61)),"",IF(ISNUMBER(G61),G61-D61,IF(ISNUMBER(F61),F61-D61,"")))</f>
        <v/>
      </c>
      <c r="I61" s="9" t="n">
        <v>50</v>
      </c>
      <c r="J61" s="11">
        <f>IF(OR(H61="",I61=""),"",IF(ABS(H61)&gt;I61,IF(ISNUMBER(G61),"UPDATE","UPDATE (spec)"),"ok"))</f>
        <v/>
      </c>
      <c r="K61" s="5" t="inlineStr">
        <is>
          <t>From the brick's inlet to the opening in the rear wall (`cord_open`) and its clamp. Needs slack inside for the connector and a drip loop outside below the clamp.</t>
        </is>
      </c>
    </row>
    <row r="62">
      <c r="A62" s="9" t="inlineStr">
        <is>
          <t>DC brick</t>
        </is>
      </c>
      <c r="B62" s="5" t="inlineStr">
        <is>
          <t>RETIRED: no fuses fitted</t>
        </is>
      </c>
      <c r="C62" s="9" t="n"/>
      <c r="D62" s="9" t="n"/>
      <c r="E62" s="9" t="inlineStr">
        <is>
          <t>mm</t>
        </is>
      </c>
      <c r="F62" s="8" t="n"/>
      <c r="G62" s="10" t="n"/>
      <c r="H62" s="9">
        <f>IF(NOT(ISNUMBER(D62)),"",IF(ISNUMBER(G62),G62-D62,IF(ISNUMBER(F62),F62-D62,"")))</f>
        <v/>
      </c>
      <c r="I62" s="9" t="n"/>
      <c r="J62" s="11">
        <f>IF(OR(H62="",I62=""),"",IF(ABS(H62)&gt;I62,IF(ISNUMBER(G62),"UPDATE","UPDATE (spec)"),"ok"))</f>
        <v/>
      </c>
      <c r="K62" s="5" t="inlineStr">
        <is>
          <t>No fuses in the single-brick design (the brick is current-limited and short-circuit protected). Row kept so formulas stay aligned; leave blank.</t>
        </is>
      </c>
    </row>
    <row r="63">
      <c r="A63" s="9" t="inlineStr">
        <is>
          <t>DC brick</t>
        </is>
      </c>
      <c r="B63" s="5" t="inlineStr">
        <is>
          <t>Relay module footprint, L x W x H</t>
        </is>
      </c>
      <c r="C63" s="9" t="n"/>
      <c r="D63" s="9" t="n"/>
      <c r="E63" s="9" t="inlineStr">
        <is>
          <t>mm</t>
        </is>
      </c>
      <c r="F63" s="8" t="n"/>
      <c r="G63" s="10" t="n"/>
      <c r="H63" s="9">
        <f>IF(NOT(ISNUMBER(D63)),"",IF(ISNUMBER(G63),G63-D63,IF(ISNUMBER(F63),F63-D63,"")))</f>
        <v/>
      </c>
      <c r="I63" s="9" t="n"/>
      <c r="J63" s="11">
        <f>IF(OR(H63="",I63=""),"",IF(ABS(H63)&gt;I63,IF(ISNUMBER(G63),"UPDATE","UPDATE (spec)"),"ok"))</f>
        <v/>
      </c>
      <c r="K63" s="5" t="inlineStr">
        <is>
          <t>Low-voltage side of the shelf, between the zip-tie slots (tie_gap 34 mm apart). Only for the relay fallback.</t>
        </is>
      </c>
    </row>
    <row r="64">
      <c r="A64" s="9" t="inlineStr">
        <is>
          <t>DC brick</t>
        </is>
      </c>
      <c r="B64" s="5" t="inlineStr">
        <is>
          <t>Splice / terminal block footprint, L x W x H</t>
        </is>
      </c>
      <c r="C64" s="9" t="n"/>
      <c r="D64" s="9" t="n"/>
      <c r="E64" s="9" t="inlineStr">
        <is>
          <t>mm</t>
        </is>
      </c>
      <c r="F64" s="8" t="n"/>
      <c r="G64" s="10" t="n"/>
      <c r="H64" s="9">
        <f>IF(NOT(ISNUMBER(D64)),"",IF(ISNUMBER(G64),G64-D64,IF(ISNUMBER(F64),F64-D64,"")))</f>
        <v/>
      </c>
      <c r="I64" s="9" t="n"/>
      <c r="J64" s="11">
        <f>IF(OR(H64="",I64=""),"",IF(ABS(H64)&gt;I64,IF(ISNUMBER(G64),"UPDATE","UPDATE (spec)"),"ok"))</f>
        <v/>
      </c>
      <c r="K64" s="5" t="inlineStr">
        <is>
          <t>Y-splitter body (5.5 x 2.5 mm, 1 female to 2 male) and any relay splice. Sits on the low-voltage side; feeds the projector adapter and the DigiAMP+.</t>
        </is>
      </c>
    </row>
    <row r="65">
      <c r="A65" s="9" t="inlineStr">
        <is>
          <t>Pi stack</t>
        </is>
      </c>
      <c r="B65" s="5" t="inlineStr">
        <is>
          <t>Pi 3/4: board bottom to top of DigiAMP+</t>
        </is>
      </c>
      <c r="C65" s="9" t="inlineStr">
        <is>
          <t>pi_stack_h</t>
        </is>
      </c>
      <c r="D65" s="9" t="n">
        <v>40</v>
      </c>
      <c r="E65" s="9" t="inlineStr">
        <is>
          <t>mm</t>
        </is>
      </c>
      <c r="F65" s="8" t="n"/>
      <c r="G65" s="10" t="n"/>
      <c r="H65" s="9">
        <f>IF(NOT(ISNUMBER(D65)),"",IF(ISNUMBER(G65),G65-D65,IF(ISNUMBER(F65),F65-D65,"")))</f>
        <v/>
      </c>
      <c r="I65" s="9" t="n">
        <v>2</v>
      </c>
      <c r="J65" s="11">
        <f>IF(OR(H65="",I65=""),"",IF(ABS(H65)&gt;I65,IF(ISNUMBER(G65),"UPDATE","UPDATE (spec)"),"ok"))</f>
        <v/>
      </c>
      <c r="K65" s="5" t="inlineStr">
        <is>
          <t>Only the sled you will use.</t>
        </is>
      </c>
    </row>
    <row r="66">
      <c r="A66" s="9" t="inlineStr">
        <is>
          <t>Pi stack</t>
        </is>
      </c>
      <c r="B66" s="5" t="inlineStr">
        <is>
          <t>Pi 5 + Active Cooler: board bottom to top of DigiAMP+</t>
        </is>
      </c>
      <c r="C66" s="9" t="inlineStr">
        <is>
          <t>pi5_stack_h</t>
        </is>
      </c>
      <c r="D66" s="9" t="n">
        <v>50</v>
      </c>
      <c r="E66" s="9" t="inlineStr">
        <is>
          <t>mm</t>
        </is>
      </c>
      <c r="F66" s="8" t="n"/>
      <c r="G66" s="10" t="n"/>
      <c r="H66" s="9">
        <f>IF(NOT(ISNUMBER(D66)),"",IF(ISNUMBER(G66),G66-D66,IF(ISNUMBER(F66),F66-D66,"")))</f>
        <v/>
      </c>
      <c r="I66" s="9" t="n">
        <v>2</v>
      </c>
      <c r="J66" s="11">
        <f>IF(OR(H66="",I66=""),"",IF(ABS(H66)&gt;I66,IF(ISNUMBER(G66),"UPDATE","UPDATE (spec)"),"ok"))</f>
        <v/>
      </c>
      <c r="K66" s="5" t="n"/>
    </row>
    <row r="67">
      <c r="A67" s="9" t="inlineStr">
        <is>
          <t>Pi stack</t>
        </is>
      </c>
      <c r="B67" s="5" t="inlineStr">
        <is>
          <t>Zero 2 W: board bottom to top of DigiAMP+</t>
        </is>
      </c>
      <c r="C67" s="9" t="inlineStr">
        <is>
          <t>zero_stack_h</t>
        </is>
      </c>
      <c r="D67" s="9" t="n">
        <v>30</v>
      </c>
      <c r="E67" s="9" t="inlineStr">
        <is>
          <t>mm</t>
        </is>
      </c>
      <c r="F67" s="8" t="n"/>
      <c r="G67" s="10" t="n"/>
      <c r="H67" s="9">
        <f>IF(NOT(ISNUMBER(D67)),"",IF(ISNUMBER(G67),G67-D67,IF(ISNUMBER(F67),F67-D67,"")))</f>
        <v/>
      </c>
      <c r="I67" s="9" t="n">
        <v>2</v>
      </c>
      <c r="J67" s="11">
        <f>IF(OR(H67="",I67=""),"",IF(ABS(H67)&gt;I67,IF(ISNUMBER(G67),"UPDATE","UPDATE (spec)"),"ok"))</f>
        <v/>
      </c>
      <c r="K67" s="5" t="n"/>
    </row>
    <row r="68">
      <c r="A68" s="9" t="inlineStr">
        <is>
          <t>Pi stack</t>
        </is>
      </c>
      <c r="B68" s="5" t="inlineStr">
        <is>
          <t>Zero 2 W: HAT underside above board bottom</t>
        </is>
      </c>
      <c r="C68" s="9" t="inlineStr">
        <is>
          <t>zero_hat_z</t>
        </is>
      </c>
      <c r="D68" s="9" t="n">
        <v>13</v>
      </c>
      <c r="E68" s="9" t="inlineStr">
        <is>
          <t>mm</t>
        </is>
      </c>
      <c r="F68" s="8" t="n"/>
      <c r="G68" s="10" t="n"/>
      <c r="H68" s="9">
        <f>IF(NOT(ISNUMBER(D68)),"",IF(ISNUMBER(G68),G68-D68,IF(ISNUMBER(F68),F68-D68,"")))</f>
        <v/>
      </c>
      <c r="I68" s="9" t="n">
        <v>1</v>
      </c>
      <c r="J68" s="11">
        <f>IF(OR(H68="",I68=""),"",IF(ABS(H68)&gt;I68,IF(ISNUMBER(G68),"UPDATE","UPDATE (spec)"),"ok"))</f>
        <v/>
      </c>
      <c r="K68" s="5" t="inlineStr">
        <is>
          <t>Sets the HAT support posts.</t>
        </is>
      </c>
    </row>
    <row r="69">
      <c r="A69" s="9" t="inlineStr">
        <is>
          <t>Pi stack</t>
        </is>
      </c>
      <c r="B69" s="5" t="inlineStr">
        <is>
          <t>HDMI plug at the Pi: width</t>
        </is>
      </c>
      <c r="C69" s="9" t="inlineStr">
        <is>
          <t>hdmi_plug[0]</t>
        </is>
      </c>
      <c r="D69" s="9" t="n">
        <v>22</v>
      </c>
      <c r="E69" s="9" t="inlineStr">
        <is>
          <t>mm</t>
        </is>
      </c>
      <c r="F69" s="8" t="n"/>
      <c r="G69" s="10" t="n"/>
      <c r="H69" s="9">
        <f>IF(NOT(ISNUMBER(D69)),"",IF(ISNUMBER(G69),G69-D69,IF(ISNUMBER(F69),F69-D69,"")))</f>
        <v/>
      </c>
      <c r="I69" s="9" t="n">
        <v>1</v>
      </c>
      <c r="J69" s="11">
        <f>IF(OR(H69="",I69=""),"",IF(ABS(H69)&gt;I69,IF(ISNUMBER(G69),"UPDATE","UPDATE (spec)"),"ok"))</f>
        <v/>
      </c>
      <c r="K69" s="5" t="inlineStr">
        <is>
          <t>Plug fitted, with strain relief. Pi 4/5 use micro-HDMI: measure the adapter or cable end you will use. check_clash.sh keeps this box clear of the divider.</t>
        </is>
      </c>
    </row>
    <row r="70">
      <c r="A70" s="9" t="inlineStr">
        <is>
          <t>Pi stack</t>
        </is>
      </c>
      <c r="B70" s="5" t="inlineStr">
        <is>
          <t>HDMI plug at the Pi: length</t>
        </is>
      </c>
      <c r="C70" s="9" t="inlineStr">
        <is>
          <t>hdmi_plug[1]</t>
        </is>
      </c>
      <c r="D70" s="9" t="n">
        <v>45</v>
      </c>
      <c r="E70" s="9" t="inlineStr">
        <is>
          <t>mm</t>
        </is>
      </c>
      <c r="F70" s="8" t="n"/>
      <c r="G70" s="10" t="n"/>
      <c r="H70" s="9">
        <f>IF(NOT(ISNUMBER(D70)),"",IF(ISNUMBER(G70),G70-D70,IF(ISNUMBER(F70),F70-D70,"")))</f>
        <v/>
      </c>
      <c r="I70" s="9" t="n">
        <v>2</v>
      </c>
      <c r="J70" s="11">
        <f>IF(OR(H70="",I70=""),"",IF(ABS(H70)&gt;I70,IF(ISNUMBER(G70),"UPDATE","UPDATE (spec)"),"ok"))</f>
        <v/>
      </c>
      <c r="K70" s="5" t="n"/>
    </row>
    <row r="71">
      <c r="A71" s="9" t="inlineStr">
        <is>
          <t>Pi stack</t>
        </is>
      </c>
      <c r="B71" s="5" t="inlineStr">
        <is>
          <t>HDMI plug at the Pi: height</t>
        </is>
      </c>
      <c r="C71" s="9" t="inlineStr">
        <is>
          <t>hdmi_plug[2]</t>
        </is>
      </c>
      <c r="D71" s="9" t="n">
        <v>13</v>
      </c>
      <c r="E71" s="9" t="inlineStr">
        <is>
          <t>mm</t>
        </is>
      </c>
      <c r="F71" s="8" t="n"/>
      <c r="G71" s="10" t="n"/>
      <c r="H71" s="9">
        <f>IF(NOT(ISNUMBER(D71)),"",IF(ISNUMBER(G71),G71-D71,IF(ISNUMBER(F71),F71-D71,"")))</f>
        <v/>
      </c>
      <c r="I71" s="9" t="n">
        <v>1</v>
      </c>
      <c r="J71" s="11">
        <f>IF(OR(H71="",I71=""),"",IF(ABS(H71)&gt;I71,IF(ISNUMBER(G71),"UPDATE","UPDATE (spec)"),"ok"))</f>
        <v/>
      </c>
      <c r="K71" s="5" t="n"/>
    </row>
    <row r="72">
      <c r="A72" s="9" t="inlineStr">
        <is>
          <t>Airflow</t>
        </is>
      </c>
      <c r="B72" s="5" t="inlineStr">
        <is>
          <t>HDMI plug standing out of the right face</t>
        </is>
      </c>
      <c r="C72" s="9" t="inlineStr">
        <is>
          <t>side_port_depth</t>
        </is>
      </c>
      <c r="D72" s="9" t="n">
        <v>15</v>
      </c>
      <c r="E72" s="9" t="inlineStr">
        <is>
          <t>mm</t>
        </is>
      </c>
      <c r="F72" s="8" t="n">
        <v>15</v>
      </c>
      <c r="G72" s="10" t="n"/>
      <c r="H72" s="9">
        <f>IF(NOT(ISNUMBER(D72)),"",IF(ISNUMBER(G72),G72-D72,IF(ISNUMBER(F72),F72-D72,"")))</f>
        <v/>
      </c>
      <c r="I72" s="9" t="n">
        <v>2</v>
      </c>
      <c r="J72" s="11">
        <f>IF(OR(H72="",I72=""),"",IF(ABS(H72)&gt;I72,IF(ISNUMBER(G72),"UPDATE","UPDATE (spec)"),"ok"))</f>
        <v/>
      </c>
      <c r="K72" s="5" t="inlineStr">
        <is>
          <t>Right-angle (side-exit) plug fitted, cable leaving rearward along the face. The keep-out is 16 mm along Y.</t>
        </is>
      </c>
    </row>
    <row r="73">
      <c r="A73" s="9" t="inlineStr">
        <is>
          <t>Airflow</t>
        </is>
      </c>
      <c r="B73" s="5" t="inlineStr">
        <is>
          <t>HDMI cable run behind the plug, standing out of the right face</t>
        </is>
      </c>
      <c r="C73" s="9" t="inlineStr">
        <is>
          <t>side_cable_d</t>
        </is>
      </c>
      <c r="D73" s="9" t="n">
        <v>8</v>
      </c>
      <c r="E73" s="9" t="inlineStr">
        <is>
          <t>mm</t>
        </is>
      </c>
      <c r="F73" s="8" t="n">
        <v>8</v>
      </c>
      <c r="G73" s="10" t="n"/>
      <c r="H73" s="9">
        <f>IF(NOT(ISNUMBER(D73)),"",IF(ISNUMBER(G73),G73-D73,IF(ISNUMBER(F73),F73-D73,"")))</f>
        <v/>
      </c>
      <c r="I73" s="9" t="n">
        <v>1</v>
      </c>
      <c r="J73" s="11">
        <f>IF(OR(H73="",I73=""),"",IF(ABS(H73)&gt;I73,IF(ISNUMBER(G73),"UPDATE","UPDATE (spec)"),"ok"))</f>
        <v/>
      </c>
      <c r="K73" s="5" t="inlineStr">
        <is>
          <t>Cable diameter plus its bend, running rearward over the baffle to the divider pass-through.</t>
        </is>
      </c>
    </row>
    <row r="74">
      <c r="A74" s="9" t="inlineStr">
        <is>
          <t>Airflow</t>
        </is>
      </c>
      <c r="B74" s="5" t="inlineStr">
        <is>
          <t>Exhaust/inlet opening margin along Y</t>
        </is>
      </c>
      <c r="C74" s="9" t="inlineStr">
        <is>
          <t>air_margin</t>
        </is>
      </c>
      <c r="D74" s="9" t="n">
        <v>8</v>
      </c>
      <c r="E74" s="9" t="inlineStr">
        <is>
          <t>mm</t>
        </is>
      </c>
      <c r="F74" s="8" t="n">
        <v>8</v>
      </c>
      <c r="G74" s="10" t="n"/>
      <c r="H74" s="9">
        <f>IF(NOT(ISNUMBER(D74)),"",IF(ISNUMBER(G74),G74-D74,IF(ISNUMBER(F74),F74-D74,"")))</f>
        <v/>
      </c>
      <c r="I74" s="9" t="n">
        <v>1</v>
      </c>
      <c r="J74" s="11">
        <f>IF(OR(H74="",I74=""),"",IF(ABS(H74)&gt;I74,IF(ISNUMBER(G74),"UPDATE","UPDATE (spec)"),"ok"))</f>
        <v/>
      </c>
      <c r="K74" s="5" t="inlineStr">
        <is>
          <t>Partial margin for the pan sweep: at the extremes some exhaust leaves into the side gap, which is the plenum. Not a measurement.</t>
        </is>
      </c>
    </row>
    <row r="75">
      <c r="A75" s="9" t="inlineStr">
        <is>
          <t>Airflow</t>
        </is>
      </c>
      <c r="B75" s="5" t="inlineStr">
        <is>
          <t>Exhaust/inlet opening margin along Z</t>
        </is>
      </c>
      <c r="C75" s="9" t="inlineStr">
        <is>
          <t>air_margin_z</t>
        </is>
      </c>
      <c r="D75" s="9" t="n">
        <v>4</v>
      </c>
      <c r="E75" s="9" t="inlineStr">
        <is>
          <t>mm</t>
        </is>
      </c>
      <c r="F75" s="8" t="n">
        <v>4</v>
      </c>
      <c r="G75" s="10" t="n"/>
      <c r="H75" s="9">
        <f>IF(NOT(ISNUMBER(D75)),"",IF(ISNUMBER(G75),G75-D75,IF(ISNUMBER(F75),F75-D75,"")))</f>
        <v/>
      </c>
      <c r="I75" s="9" t="n">
        <v>1</v>
      </c>
      <c r="J75" s="11">
        <f>IF(OR(H75="",I75=""),"",IF(ABS(H75)&gt;I75,IF(ISNUMBER(G75),"UPDATE","UPDATE (spec)"),"ok"))</f>
        <v/>
      </c>
      <c r="K75" s="5" t="inlineStr">
        <is>
          <t>Partial margin for the tilt sweep, same caveat. Not a measurement.</t>
        </is>
      </c>
    </row>
    <row r="76">
      <c r="A76" s="9" t="inlineStr">
        <is>
          <t>Airflow</t>
        </is>
      </c>
      <c r="B76" s="5" t="inlineStr">
        <is>
          <t>Side gap each side of the projector</t>
        </is>
      </c>
      <c r="C76" s="9" t="inlineStr">
        <is>
          <t>side_air</t>
        </is>
      </c>
      <c r="D76" s="9" t="n">
        <v>25</v>
      </c>
      <c r="E76" s="9" t="inlineStr">
        <is>
          <t>mm</t>
        </is>
      </c>
      <c r="F76" s="8" t="n">
        <v>25</v>
      </c>
      <c r="G76" s="10" t="n"/>
      <c r="H76" s="9">
        <f>IF(NOT(ISNUMBER(D76)),"",IF(ISNUMBER(G76),G76-D76,IF(ISNUMBER(F76),F76-D76,"")))</f>
        <v/>
      </c>
      <c r="I76" s="9" t="n">
        <v>1</v>
      </c>
      <c r="J76" s="11">
        <f>IF(OR(H76="",I76=""),"",IF(ABS(H76)&gt;I76,IF(ISNUMBER(G76),"UPDATE","UPDATE (spec)"),"ok"))</f>
        <v/>
      </c>
      <c r="K76" s="5" t="inlineStr">
        <is>
          <t>Clears the pan sweep of the right face, the HDMI plug and the baffle. Could shrink to about 19 mm (a separate change that moves the base size).</t>
        </is>
      </c>
    </row>
    <row r="77">
      <c r="A77" s="9" t="inlineStr">
        <is>
          <t>Consumables</t>
        </is>
      </c>
      <c r="B77" s="5" t="inlineStr">
        <is>
          <t>Speaker zip cord, width x thickness</t>
        </is>
      </c>
      <c r="C77" s="9" t="inlineStr">
        <is>
          <t>spk_d</t>
        </is>
      </c>
      <c r="D77" s="9" t="n">
        <v>12</v>
      </c>
      <c r="E77" s="9" t="inlineStr">
        <is>
          <t>mm</t>
        </is>
      </c>
      <c r="F77" s="8" t="n"/>
      <c r="G77" s="10" t="n"/>
      <c r="H77" s="9">
        <f>IF(NOT(ISNUMBER(D77)),"",IF(ISNUMBER(G77),G77-D77,IF(ISNUMBER(F77),F77-D77,"")))</f>
        <v/>
      </c>
      <c r="I77" s="9" t="n">
        <v>1</v>
      </c>
      <c r="J77" s="11">
        <f>IF(OR(H77="",I77=""),"",IF(ABS(H77)&gt;I77,IF(ISNUMBER(G77),"UPDATE","UPDATE (spec)"),"ok"))</f>
        <v/>
      </c>
      <c r="K77" s="5" t="inlineStr">
        <is>
          <t>Bore is 12 for two runs of 16 AWG figure-8 side by side. Type W x T.</t>
        </is>
      </c>
    </row>
    <row r="78">
      <c r="A78" s="9" t="inlineStr">
        <is>
          <t>Consumables</t>
        </is>
      </c>
      <c r="B78" s="5" t="inlineStr">
        <is>
          <t>Tent stake diameter</t>
        </is>
      </c>
      <c r="C78" s="9" t="inlineStr">
        <is>
          <t>stake_d</t>
        </is>
      </c>
      <c r="D78" s="9" t="n">
        <v>9</v>
      </c>
      <c r="E78" s="9" t="inlineStr">
        <is>
          <t>mm</t>
        </is>
      </c>
      <c r="F78" s="8" t="n"/>
      <c r="G78" s="10" t="n"/>
      <c r="H78" s="9">
        <f>IF(NOT(ISNUMBER(D78)),"",IF(ISNUMBER(G78),G78-D78,IF(ISNUMBER(F78),F78-D78,"")))</f>
        <v/>
      </c>
      <c r="I78" s="9" t="n">
        <v>0.5</v>
      </c>
      <c r="J78" s="11">
        <f>IF(OR(H78="",I78=""),"",IF(ABS(H78)&gt;I78,IF(ISNUMBER(G78),"UPDATE","UPDATE (spec)"),"ok"))</f>
        <v/>
      </c>
      <c r="K78" s="5" t="inlineStr">
        <is>
          <t>Bore for 8 mm stakes or 1/4 in pins.</t>
        </is>
      </c>
    </row>
    <row r="79">
      <c r="A79" s="9" t="inlineStr">
        <is>
          <t>Consumables</t>
        </is>
      </c>
      <c r="B79" s="5" t="inlineStr">
        <is>
          <t>Insect screen mesh thickness</t>
        </is>
      </c>
      <c r="C79" s="9" t="inlineStr">
        <is>
          <t>cap_h</t>
        </is>
      </c>
      <c r="D79" s="9" t="n">
        <v>3</v>
      </c>
      <c r="E79" s="9" t="inlineStr">
        <is>
          <t>mm</t>
        </is>
      </c>
      <c r="F79" s="8" t="n"/>
      <c r="G79" s="10" t="n"/>
      <c r="H79" s="9">
        <f>IF(NOT(ISNUMBER(D79)),"",IF(ISNUMBER(G79),G79-D79,IF(ISNUMBER(F79),F79-D79,"")))</f>
        <v/>
      </c>
      <c r="I79" s="9" t="n">
        <v>0.5</v>
      </c>
      <c r="J79" s="11">
        <f>IF(OR(H79="",I79=""),"",IF(ABS(H79)&gt;I79,IF(ISNUMBER(G79),"UPDATE","UPDATE (spec)"),"ok"))</f>
        <v/>
      </c>
      <c r="K79" s="5" t="inlineStr">
        <is>
          <t>Screen caps stand 3 off the wall and the mesh glues inside; a stiff mesh needs the gap.</t>
        </is>
      </c>
    </row>
    <row r="80">
      <c r="A80" s="9" t="inlineStr">
        <is>
          <t>Consumables</t>
        </is>
      </c>
      <c r="B80" s="5" t="inlineStr">
        <is>
          <t>Lid gasket foam tape thickness</t>
        </is>
      </c>
      <c r="C80" s="9" t="inlineStr">
        <is>
          <t>gasket</t>
        </is>
      </c>
      <c r="D80" s="9" t="n">
        <v>2</v>
      </c>
      <c r="E80" s="9" t="inlineStr">
        <is>
          <t>mm</t>
        </is>
      </c>
      <c r="F80" s="8" t="n"/>
      <c r="G80" s="10" t="n"/>
      <c r="H80" s="9">
        <f>IF(NOT(ISNUMBER(D80)),"",IF(ISNUMBER(G80),G80-D80,IF(ISNUMBER(F80),F80-D80,"")))</f>
        <v/>
      </c>
      <c r="I80" s="9" t="n">
        <v>0.5</v>
      </c>
      <c r="J80" s="11">
        <f>IF(OR(H80="",I80=""),"",IF(ABS(H80)&gt;I80,IF(ISNUMBER(G80),"UPDATE","UPDATE (spec)"),"ok"))</f>
        <v/>
      </c>
      <c r="K80" s="5" t="inlineStr">
        <is>
          <t>Lid bosses stop 1 mm short so the tape compresses.</t>
        </is>
      </c>
    </row>
    <row r="81">
      <c r="A81" s="9" t="inlineStr">
        <is>
          <t>Consumables</t>
        </is>
      </c>
      <c r="B81" s="5" t="inlineStr">
        <is>
          <t>Lid gasket foam tape width</t>
        </is>
      </c>
      <c r="C81" s="9" t="n"/>
      <c r="D81" s="9" t="n"/>
      <c r="E81" s="9" t="inlineStr">
        <is>
          <t>mm</t>
        </is>
      </c>
      <c r="F81" s="8" t="n"/>
      <c r="G81" s="10" t="n"/>
      <c r="H81" s="9">
        <f>IF(NOT(ISNUMBER(D81)),"",IF(ISNUMBER(G81),G81-D81,IF(ISNUMBER(F81),F81-D81,"")))</f>
        <v/>
      </c>
      <c r="I81" s="9" t="n">
        <v>1</v>
      </c>
      <c r="J81" s="11">
        <f>IF(OR(H81="",I81=""),"",IF(ABS(H81)&gt;I81,IF(ISNUMBER(G81),"UPDATE","UPDATE (spec)"),"ok"))</f>
        <v/>
      </c>
      <c r="K81" s="5" t="inlineStr">
        <is>
          <t>Must fit the lid's flat gasket land; wider tape bunches at the corners.</t>
        </is>
      </c>
    </row>
    <row r="82">
      <c r="A82" s="9" t="inlineStr">
        <is>
          <t>Consumables</t>
        </is>
      </c>
      <c r="B82" s="5" t="inlineStr">
        <is>
          <t>Hatch cover foam tape thickness</t>
        </is>
      </c>
      <c r="C82" s="9" t="inlineStr">
        <is>
          <t>cover_gasket</t>
        </is>
      </c>
      <c r="D82" s="9" t="n">
        <v>1.5</v>
      </c>
      <c r="E82" s="9" t="inlineStr">
        <is>
          <t>mm</t>
        </is>
      </c>
      <c r="F82" s="8" t="n"/>
      <c r="G82" s="10" t="n"/>
      <c r="H82" s="9">
        <f>IF(NOT(ISNUMBER(D82)),"",IF(ISNUMBER(G82),G82-D82,IF(ISNUMBER(F82),F82-D82,"")))</f>
        <v/>
      </c>
      <c r="I82" s="9" t="n">
        <v>0.3</v>
      </c>
      <c r="J82" s="11">
        <f>IF(OR(H82="",I82=""),"",IF(ABS(H82)&gt;I82,IF(ISNUMBER(G82),"UPDATE","UPDATE (spec)"),"ok"))</f>
        <v/>
      </c>
      <c r="K82" s="5" t="n"/>
    </row>
    <row r="83">
      <c r="A83" s="9" t="inlineStr">
        <is>
          <t>Consumables</t>
        </is>
      </c>
      <c r="B83" s="5" t="inlineStr">
        <is>
          <t>Cord opening in the rear wall (X)</t>
        </is>
      </c>
      <c r="C83" s="9" t="inlineStr">
        <is>
          <t>cord_open[0]</t>
        </is>
      </c>
      <c r="D83" s="9" t="n">
        <v>40</v>
      </c>
      <c r="E83" s="9" t="inlineStr">
        <is>
          <t>mm</t>
        </is>
      </c>
      <c r="F83" s="8" t="n"/>
      <c r="G83" s="10" t="n"/>
      <c r="H83" s="9">
        <f>IF(NOT(ISNUMBER(D83)),"",IF(ISNUMBER(G83),G83-D83,IF(ISNUMBER(F83),F83-D83,"")))</f>
        <v/>
      </c>
      <c r="I83" s="9" t="n">
        <v>0.2</v>
      </c>
      <c r="J83" s="11">
        <f>IF(OR(H83="",I83=""),"",IF(ABS(H83)&gt;I83,IF(ISNUMBER(G83),"UPDATE","UPDATE (spec)"),"ok"))</f>
        <v/>
      </c>
      <c r="K83" s="5" t="inlineStr">
        <is>
          <t>Must pass the cord's molded connector with room (a C13 body is about 28 x 21 mm). Measure yours.</t>
        </is>
      </c>
    </row>
    <row r="84">
      <c r="A84" s="9" t="inlineStr">
        <is>
          <t>PIR</t>
        </is>
      </c>
      <c r="B84" s="5" t="inlineStr">
        <is>
          <t>Dome diameter</t>
        </is>
      </c>
      <c r="C84" s="9" t="inlineStr">
        <is>
          <t>pir_dome_d</t>
        </is>
      </c>
      <c r="D84" s="9" t="n">
        <v>23.5</v>
      </c>
      <c r="E84" s="9" t="inlineStr">
        <is>
          <t>mm</t>
        </is>
      </c>
      <c r="F84" s="8" t="n"/>
      <c r="G84" s="10" t="n"/>
      <c r="H84" s="9">
        <f>IF(NOT(ISNUMBER(D84)),"",IF(ISNUMBER(G84),G84-D84,IF(ISNUMBER(F84),F84-D84,"")))</f>
        <v/>
      </c>
      <c r="I84" s="9" t="n">
        <v>0.5</v>
      </c>
      <c r="J84" s="11">
        <f>IF(OR(H84="",I84=""),"",IF(ABS(H84)&gt;I84,IF(ISNUMBER(G84),"UPDATE","UPDATE (spec)"),"ok"))</f>
        <v/>
      </c>
      <c r="K84" s="5" t="n"/>
    </row>
    <row r="85">
      <c r="A85" s="9" t="inlineStr">
        <is>
          <t>PIR</t>
        </is>
      </c>
      <c r="B85" s="5" t="inlineStr">
        <is>
          <t>Mounting hole spacing</t>
        </is>
      </c>
      <c r="C85" s="9" t="inlineStr">
        <is>
          <t>pir_hole_sp</t>
        </is>
      </c>
      <c r="D85" s="9" t="n">
        <v>28.7</v>
      </c>
      <c r="E85" s="9" t="inlineStr">
        <is>
          <t>mm</t>
        </is>
      </c>
      <c r="F85" s="8" t="n"/>
      <c r="G85" s="10" t="n"/>
      <c r="H85" s="9">
        <f>IF(NOT(ISNUMBER(D85)),"",IF(ISNUMBER(G85),G85-D85,IF(ISNUMBER(F85),F85-D85,"")))</f>
        <v/>
      </c>
      <c r="I85" s="9" t="n">
        <v>0.3</v>
      </c>
      <c r="J85" s="11">
        <f>IF(OR(H85="",I85=""),"",IF(ABS(H85)&gt;I85,IF(ISNUMBER(G85),"UPDATE","UPDATE (spec)"),"ok"))</f>
        <v/>
      </c>
      <c r="K85" s="5" t="inlineStr">
        <is>
          <t>Centre to centre.</t>
        </is>
      </c>
    </row>
    <row r="86">
      <c r="A86" s="9" t="inlineStr">
        <is>
          <t>PIR</t>
        </is>
      </c>
      <c r="B86" s="5" t="inlineStr">
        <is>
          <t>Lens frame thickness</t>
        </is>
      </c>
      <c r="C86" s="9" t="inlineStr">
        <is>
          <t>pir_stand</t>
        </is>
      </c>
      <c r="D86" s="9" t="n">
        <v>3</v>
      </c>
      <c r="E86" s="9" t="inlineStr">
        <is>
          <t>mm</t>
        </is>
      </c>
      <c r="F86" s="8" t="n"/>
      <c r="G86" s="10" t="n"/>
      <c r="H86" s="9">
        <f>IF(NOT(ISNUMBER(D86)),"",IF(ISNUMBER(G86),G86-D86,IF(ISNUMBER(F86),F86-D86,"")))</f>
        <v/>
      </c>
      <c r="I86" s="9" t="n">
        <v>0.5</v>
      </c>
      <c r="J86" s="11">
        <f>IF(OR(H86="",I86=""),"",IF(ABS(H86)&gt;I86,IF(ISNUMBER(G86),"UPDATE","UPDATE (spec)"),"ok"))</f>
        <v/>
      </c>
      <c r="K86" s="5" t="inlineStr">
        <is>
          <t>Board face to dome base.</t>
        </is>
      </c>
    </row>
    <row r="87">
      <c r="A87" s="9" t="inlineStr">
        <is>
          <t>Window</t>
        </is>
      </c>
      <c r="B87" s="5" t="inlineStr">
        <is>
          <t>Pane width</t>
        </is>
      </c>
      <c r="C87" s="9" t="inlineStr">
        <is>
          <t>pane_w</t>
        </is>
      </c>
      <c r="D87" s="9" t="n">
        <v>127</v>
      </c>
      <c r="E87" s="9" t="inlineStr">
        <is>
          <t>mm</t>
        </is>
      </c>
      <c r="F87" s="8" t="n"/>
      <c r="G87" s="10" t="n"/>
      <c r="H87" s="9">
        <f>IF(NOT(ISNUMBER(D87)),"",IF(ISNUMBER(G87),G87-D87,IF(ISNUMBER(F87),F87-D87,"")))</f>
        <v/>
      </c>
      <c r="I87" s="9" t="n">
        <v>0.5</v>
      </c>
      <c r="J87" s="11">
        <f>IF(OR(H87="",I87=""),"",IF(ABS(H87)&gt;I87,IF(ISNUMBER(G87),"UPDATE","UPDATE (spec)"),"ok"))</f>
        <v/>
      </c>
      <c r="K87" s="5" t="inlineStr">
        <is>
          <t>4 x 5 in stock pane.</t>
        </is>
      </c>
    </row>
    <row r="88">
      <c r="A88" s="9" t="inlineStr">
        <is>
          <t>Window</t>
        </is>
      </c>
      <c r="B88" s="5" t="inlineStr">
        <is>
          <t>Pane height</t>
        </is>
      </c>
      <c r="C88" s="9" t="inlineStr">
        <is>
          <t>pane_h</t>
        </is>
      </c>
      <c r="D88" s="9" t="n">
        <v>101.6</v>
      </c>
      <c r="E88" s="9" t="inlineStr">
        <is>
          <t>mm</t>
        </is>
      </c>
      <c r="F88" s="8" t="n"/>
      <c r="G88" s="10" t="n"/>
      <c r="H88" s="9">
        <f>IF(NOT(ISNUMBER(D88)),"",IF(ISNUMBER(G88),G88-D88,IF(ISNUMBER(F88),F88-D88,"")))</f>
        <v/>
      </c>
      <c r="I88" s="9" t="n">
        <v>0.5</v>
      </c>
      <c r="J88" s="11">
        <f>IF(OR(H88="",I88=""),"",IF(ABS(H88)&gt;I88,IF(ISNUMBER(G88),"UPDATE","UPDATE (spec)"),"ok"))</f>
        <v/>
      </c>
      <c r="K88" s="5" t="n"/>
    </row>
    <row r="89">
      <c r="A89" s="9" t="inlineStr">
        <is>
          <t>Window</t>
        </is>
      </c>
      <c r="B89" s="5" t="inlineStr">
        <is>
          <t>Pane thickness</t>
        </is>
      </c>
      <c r="C89" s="9" t="inlineStr">
        <is>
          <t>pane_t</t>
        </is>
      </c>
      <c r="D89" s="9" t="n">
        <v>3.2</v>
      </c>
      <c r="E89" s="9" t="inlineStr">
        <is>
          <t>mm</t>
        </is>
      </c>
      <c r="F89" s="8" t="n"/>
      <c r="G89" s="10" t="n"/>
      <c r="H89" s="9">
        <f>IF(NOT(ISNUMBER(D89)),"",IF(ISNUMBER(G89),G89-D89,IF(ISNUMBER(F89),F89-D89,"")))</f>
        <v/>
      </c>
      <c r="I89" s="9" t="n">
        <v>0.2</v>
      </c>
      <c r="J89" s="11">
        <f>IF(OR(H89="",I89=""),"",IF(ABS(H89)&gt;I89,IF(ISNUMBER(G89),"UPDATE","UPDATE (spec)"),"ok"))</f>
        <v/>
      </c>
      <c r="K89" s="5" t="inlineStr">
        <is>
          <t>Photo-frame glazing is often thinner.</t>
        </is>
      </c>
    </row>
    <row r="90">
      <c r="A90" s="9" t="inlineStr">
        <is>
          <t>Inserts</t>
        </is>
      </c>
      <c r="B90" s="5" t="inlineStr">
        <is>
          <t>1/4-20 heat-set insert hole</t>
        </is>
      </c>
      <c r="C90" s="9" t="inlineStr">
        <is>
          <t>insert_d</t>
        </is>
      </c>
      <c r="D90" s="9" t="n">
        <v>8.199999999999999</v>
      </c>
      <c r="E90" s="9" t="inlineStr">
        <is>
          <t>mm</t>
        </is>
      </c>
      <c r="F90" s="8" t="n"/>
      <c r="G90" s="10" t="n"/>
      <c r="H90" s="9">
        <f>IF(NOT(ISNUMBER(D90)),"",IF(ISNUMBER(G90),G90-D90,IF(ISNUMBER(F90),F90-D90,"")))</f>
        <v/>
      </c>
      <c r="I90" s="9" t="n">
        <v>0.1</v>
      </c>
      <c r="J90" s="11">
        <f>IF(OR(H90="",I90=""),"",IF(ABS(H90)&gt;I90,IF(ISNUMBER(G90),"UPDATE","UPDATE (spec)"),"ok"))</f>
        <v/>
      </c>
      <c r="K90" s="5" t="n"/>
    </row>
    <row r="91">
      <c r="A91" s="9" t="inlineStr">
        <is>
          <t>Inserts</t>
        </is>
      </c>
      <c r="B91" s="5" t="inlineStr">
        <is>
          <t>M4 heat-set insert hole</t>
        </is>
      </c>
      <c r="C91" s="9" t="inlineStr">
        <is>
          <t>m4_insert_d</t>
        </is>
      </c>
      <c r="D91" s="9" t="n">
        <v>5.6</v>
      </c>
      <c r="E91" s="9" t="inlineStr">
        <is>
          <t>mm</t>
        </is>
      </c>
      <c r="F91" s="8" t="n"/>
      <c r="G91" s="10" t="n"/>
      <c r="H91" s="9">
        <f>IF(NOT(ISNUMBER(D91)),"",IF(ISNUMBER(G91),G91-D91,IF(ISNUMBER(F91),F91-D91,"")))</f>
        <v/>
      </c>
      <c r="I91" s="9" t="n">
        <v>0.1</v>
      </c>
      <c r="J91" s="11">
        <f>IF(OR(H91="",I91=""),"",IF(ABS(H91)&gt;I91,IF(ISNUMBER(G91),"UPDATE","UPDATE (spec)"),"ok"))</f>
        <v/>
      </c>
      <c r="K91" s="5" t="n"/>
    </row>
    <row r="92">
      <c r="A92" s="9" t="inlineStr">
        <is>
          <t>Inserts</t>
        </is>
      </c>
      <c r="B92" s="5" t="inlineStr">
        <is>
          <t>M3 heat-set insert hole</t>
        </is>
      </c>
      <c r="C92" s="9" t="inlineStr">
        <is>
          <t>m3_insert_d</t>
        </is>
      </c>
      <c r="D92" s="9" t="n">
        <v>4</v>
      </c>
      <c r="E92" s="9" t="inlineStr">
        <is>
          <t>mm</t>
        </is>
      </c>
      <c r="F92" s="8" t="n"/>
      <c r="G92" s="10" t="n"/>
      <c r="H92" s="9">
        <f>IF(NOT(ISNUMBER(D92)),"",IF(ISNUMBER(G92),G92-D92,IF(ISNUMBER(F92),F92-D92,"")))</f>
        <v/>
      </c>
      <c r="I92" s="9" t="n">
        <v>0.1</v>
      </c>
      <c r="J92" s="11">
        <f>IF(OR(H92="",I92=""),"",IF(ABS(H92)&gt;I92,IF(ISNUMBER(G92),"UPDATE","UPDATE (spec)"),"ok"))</f>
        <v/>
      </c>
      <c r="K92" s="5" t="n"/>
    </row>
    <row r="93">
      <c r="A93" s="9" t="inlineStr">
        <is>
          <t>Inserts</t>
        </is>
      </c>
      <c r="B93" s="5" t="inlineStr">
        <is>
          <t>1/4-20 insert length</t>
        </is>
      </c>
      <c r="C93" s="9" t="inlineStr">
        <is>
          <t>insert_len</t>
        </is>
      </c>
      <c r="D93" s="9" t="n">
        <v>9</v>
      </c>
      <c r="E93" s="9" t="inlineStr">
        <is>
          <t>mm</t>
        </is>
      </c>
      <c r="F93" s="8" t="n"/>
      <c r="G93" s="10" t="n"/>
      <c r="H93" s="9">
        <f>IF(NOT(ISNUMBER(D93)),"",IF(ISNUMBER(G93),G93-D93,IF(ISNUMBER(F93),F93-D93,"")))</f>
        <v/>
      </c>
      <c r="I93" s="9" t="n">
        <v>0.5</v>
      </c>
      <c r="J93" s="11">
        <f>IF(OR(H93="",I93=""),"",IF(ABS(H93)&gt;I93,IF(ISNUMBER(G93),"UPDATE","UPDATE (spec)"),"ok"))</f>
        <v/>
      </c>
      <c r="K93" s="5" t="inlineStr">
        <is>
          <t>Pedestal column hole is this deep. A longer insert bottoms out before it seats.</t>
        </is>
      </c>
    </row>
    <row r="94">
      <c r="A94" s="9" t="inlineStr">
        <is>
          <t>Inserts</t>
        </is>
      </c>
      <c r="B94" s="5" t="inlineStr">
        <is>
          <t>M4 insert length</t>
        </is>
      </c>
      <c r="C94" s="9" t="n"/>
      <c r="D94" s="9" t="n"/>
      <c r="E94" s="9" t="inlineStr">
        <is>
          <t>mm</t>
        </is>
      </c>
      <c r="F94" s="8" t="n"/>
      <c r="G94" s="10" t="n"/>
      <c r="H94" s="9">
        <f>IF(NOT(ISNUMBER(D94)),"",IF(ISNUMBER(G94),G94-D94,IF(ISNUMBER(F94),F94-D94,"")))</f>
        <v/>
      </c>
      <c r="I94" s="9" t="n"/>
      <c r="J94" s="11">
        <f>IF(OR(H94="",I94=""),"",IF(ABS(H94)&gt;I94,IF(ISNUMBER(G94),"UPDATE","UPDATE (spec)"),"ok"))</f>
        <v/>
      </c>
      <c r="K94" s="5" t="inlineStr">
        <is>
          <t>Hatch stud holes are 8 deep into the wall bosses; an insert over about 7.5 breaks through.</t>
        </is>
      </c>
    </row>
    <row r="95">
      <c r="A95" s="9" t="inlineStr">
        <is>
          <t>Inserts</t>
        </is>
      </c>
      <c r="B95" s="5" t="inlineStr">
        <is>
          <t>M3 insert length</t>
        </is>
      </c>
      <c r="C95" s="9" t="n"/>
      <c r="D95" s="9" t="n"/>
      <c r="E95" s="9" t="inlineStr">
        <is>
          <t>mm</t>
        </is>
      </c>
      <c r="F95" s="8" t="n"/>
      <c r="G95" s="10" t="n"/>
      <c r="H95" s="9">
        <f>IF(NOT(ISNUMBER(D95)),"",IF(ISNUMBER(G95),G95-D95,IF(ISNUMBER(F95),F95-D95,"")))</f>
        <v/>
      </c>
      <c r="I95" s="9" t="n"/>
      <c r="J95" s="11">
        <f>IF(OR(H95="",I95=""),"",IF(ABS(H95)&gt;I95,IF(ISNUMBER(G95),"UPDATE","UPDATE (spec)"),"ok"))</f>
        <v/>
      </c>
      <c r="K95" s="5" t="inlineStr">
        <is>
          <t>Sled thumbscrew hole in the floor is 6 deep.</t>
        </is>
      </c>
    </row>
    <row r="96">
      <c r="A96" s="9" t="inlineStr">
        <is>
          <t>Fit coupon</t>
        </is>
      </c>
      <c r="B96" s="5" t="inlineStr">
        <is>
          <t>General fit clearance</t>
        </is>
      </c>
      <c r="C96" s="9" t="inlineStr">
        <is>
          <t>clearance</t>
        </is>
      </c>
      <c r="D96" s="9" t="n">
        <v>0.3</v>
      </c>
      <c r="E96" s="9" t="inlineStr">
        <is>
          <t>mm</t>
        </is>
      </c>
      <c r="F96" s="8" t="n"/>
      <c r="G96" s="10" t="n"/>
      <c r="H96" s="9">
        <f>IF(NOT(ISNUMBER(D96)),"",IF(ISNUMBER(G96),G96-D96,IF(ISNUMBER(F96),F96-D96,"")))</f>
        <v/>
      </c>
      <c r="I96" s="9" t="n">
        <v>0.05</v>
      </c>
      <c r="J96" s="11">
        <f>IF(OR(H96="",I96=""),"",IF(ABS(H96)&gt;I96,IF(ISNUMBER(G96),"UPDATE","UPDATE (spec)"),"ok"))</f>
        <v/>
      </c>
      <c r="K96" s="5" t="inlineStr">
        <is>
          <t>Adjust after the coupon: keyhole, pane slot, screw pilots.</t>
        </is>
      </c>
    </row>
    <row r="97">
      <c r="A97" s="9" t="inlineStr">
        <is>
          <t>Fit coupon</t>
        </is>
      </c>
      <c r="B97" s="5" t="inlineStr">
        <is>
          <t>XY shrink: coupon strip length</t>
        </is>
      </c>
      <c r="C97" s="9" t="n"/>
      <c r="D97" s="9" t="n">
        <v>118</v>
      </c>
      <c r="E97" s="9" t="inlineStr">
        <is>
          <t>mm</t>
        </is>
      </c>
      <c r="F97" s="8" t="n"/>
      <c r="G97" s="10" t="n"/>
      <c r="H97" s="9">
        <f>IF(NOT(ISNUMBER(D97)),"",IF(ISNUMBER(G97),G97-D97,IF(ISNUMBER(F97),F97-D97,"")))</f>
        <v/>
      </c>
      <c r="I97" s="9" t="n">
        <v>0.35</v>
      </c>
      <c r="J97" s="11">
        <f>IF(OR(H97="",I97=""),"",IF(ABS(H97)&gt;I97,IF(ISNUMBER(G97),"UPDATE","UPDATE (spec)"),"ok"))</f>
        <v/>
      </c>
      <c r="K97" s="5" t="inlineStr">
        <is>
          <t>Measure the 118 mm strip once it is cool. Shrink cancels between printed parts (lid on base, tile seams) but not where a print wraps a rigid part: the pane rebate is pane + 2 x clearance, so 0.3 % along the 127 mm pane eats the whole 0.3 clearance. The two rows below work it out.</t>
        </is>
      </c>
    </row>
    <row r="98">
      <c r="A98" s="9" t="inlineStr">
        <is>
          <t>Fit coupon</t>
        </is>
      </c>
      <c r="B98" s="5" t="inlineStr">
        <is>
          <t>XY shrink</t>
        </is>
      </c>
      <c r="C98" s="9" t="n"/>
      <c r="D98" s="9" t="n"/>
      <c r="E98" s="9" t="inlineStr">
        <is>
          <t>%</t>
        </is>
      </c>
      <c r="F98" s="8" t="n"/>
      <c r="G98" s="11">
        <f>IF(AND(ISNUMBER(G97),G97&gt;0),ROUND((D97-G97)/D97*100,2),"")</f>
        <v/>
      </c>
      <c r="H98" s="9">
        <f>IF(NOT(ISNUMBER(D98)),"",IF(ISNUMBER(G98),G98-D98,IF(ISNUMBER(F98),F98-D98,"")))</f>
        <v/>
      </c>
      <c r="I98" s="9" t="n"/>
      <c r="J98" s="11">
        <f>IF(OR(H98="",I98=""),"",IF(ABS(H98)&gt;I98,IF(ISNUMBER(G98),"UPDATE","UPDATE (spec)"),"ok"))</f>
        <v/>
      </c>
      <c r="K98" s="5" t="inlineStr">
        <is>
          <t>Computed from the strip. Do not type here.</t>
        </is>
      </c>
    </row>
    <row r="99">
      <c r="A99" s="9" t="inlineStr">
        <is>
          <t>Fit coupon</t>
        </is>
      </c>
      <c r="B99" s="5" t="inlineStr">
        <is>
          <t>Pane clearance after shrink, per side</t>
        </is>
      </c>
      <c r="C99" s="9" t="n"/>
      <c r="D99" s="9" t="n"/>
      <c r="E99" s="9" t="inlineStr">
        <is>
          <t>mm</t>
        </is>
      </c>
      <c r="F99" s="8" t="n"/>
      <c r="G99" s="11">
        <f>IF(ISNUMBER(G98),ROUND(((IF(ISNUMBER(G87),G87,D87)+2*IF(ISNUMBER(G96),G96,D96))*(1-G98/100)-IF(ISNUMBER(G87),G87,D87))/2,2),"")</f>
        <v/>
      </c>
      <c r="H99" s="9">
        <f>""</f>
        <v/>
      </c>
      <c r="I99" s="9" t="n"/>
      <c r="J99" s="11">
        <f>IF(NOT(ISNUMBER(G99)),"",IF(G99&lt;0.1,"TIGHT","ok"))</f>
        <v/>
      </c>
      <c r="K99" s="5" t="inlineStr">
        <is>
          <t>Computed: (pane + 2 x clearance) x (1 - shrink) - pane, halved. TIGHT under 0.1: scale the window frame and base front by 118 / strip in the slicer, or add the shortfall to pane_w and pane_h. Do not type here.</t>
        </is>
      </c>
    </row>
    <row r="100">
      <c r="A100" s="9" t="inlineStr">
        <is>
          <t>Site</t>
        </is>
      </c>
      <c r="B100" s="5" t="inlineStr">
        <is>
          <t>Distance from the case position to the projection surface</t>
        </is>
      </c>
      <c r="C100" s="9" t="n"/>
      <c r="D100" s="9" t="n"/>
      <c r="E100" s="9" t="inlineStr">
        <is>
          <t>mm</t>
        </is>
      </c>
      <c r="F100" s="8" t="n"/>
      <c r="G100" s="10" t="n"/>
      <c r="H100" s="9">
        <f>IF(NOT(ISNUMBER(D100)),"",IF(ISNUMBER(G100),G100-D100,IF(ISNUMBER(F100),F100-D100,"")))</f>
        <v/>
      </c>
      <c r="I100" s="9" t="n"/>
      <c r="J100" s="11">
        <f>IF(OR(H100="",I100=""),"",IF(ABS(H100)&gt;I100,IF(ISNUMBER(G100),"UPDATE","UPDATE (spec)"),"ok"))</f>
        <v/>
      </c>
      <c r="K100" s="5" t="inlineStr">
        <is>
          <t>Lens face to the surface, straight on, case where it will stand.</t>
        </is>
      </c>
    </row>
    <row r="101">
      <c r="A101" s="9" t="inlineStr">
        <is>
          <t>Site</t>
        </is>
      </c>
      <c r="B101" s="5" t="inlineStr">
        <is>
          <t>Projection surface: bottom edge height above ground</t>
        </is>
      </c>
      <c r="C101" s="9" t="n"/>
      <c r="D101" s="9" t="n"/>
      <c r="E101" s="9" t="inlineStr">
        <is>
          <t>mm</t>
        </is>
      </c>
      <c r="F101" s="8" t="n"/>
      <c r="G101" s="10" t="n"/>
      <c r="H101" s="9">
        <f>IF(NOT(ISNUMBER(D101)),"",IF(ISNUMBER(G101),G101-D101,IF(ISNUMBER(F101),F101-D101,"")))</f>
        <v/>
      </c>
      <c r="I101" s="9" t="n"/>
      <c r="J101" s="11">
        <f>IF(OR(H101="",I101=""),"",IF(ABS(H101)&gt;I101,IF(ISNUMBER(G101),"UPDATE","UPDATE (spec)"),"ok"))</f>
        <v/>
      </c>
      <c r="K101" s="5" t="n"/>
    </row>
    <row r="102">
      <c r="A102" s="9" t="inlineStr">
        <is>
          <t>Site</t>
        </is>
      </c>
      <c r="B102" s="5" t="inlineStr">
        <is>
          <t>Projection surface: top edge height above ground</t>
        </is>
      </c>
      <c r="C102" s="9" t="n"/>
      <c r="D102" s="9" t="n"/>
      <c r="E102" s="9" t="inlineStr">
        <is>
          <t>mm</t>
        </is>
      </c>
      <c r="F102" s="8" t="n"/>
      <c r="G102" s="10" t="n"/>
      <c r="H102" s="9">
        <f>IF(NOT(ISNUMBER(D102)),"",IF(ISNUMBER(G102),G102-D102,IF(ISNUMBER(F102),F102-D102,"")))</f>
        <v/>
      </c>
      <c r="I102" s="9" t="n"/>
      <c r="J102" s="11">
        <f>IF(OR(H102="",I102=""),"",IF(ABS(H102)&gt;I102,IF(ISNUMBER(G102),"UPDATE","UPDATE (spec)"),"ok"))</f>
        <v/>
      </c>
      <c r="K102" s="5" t="n"/>
    </row>
    <row r="103">
      <c r="A103" s="9" t="inlineStr">
        <is>
          <t>Site</t>
        </is>
      </c>
      <c r="B103" s="5" t="inlineStr">
        <is>
          <t>Projection surface width</t>
        </is>
      </c>
      <c r="C103" s="9" t="n"/>
      <c r="D103" s="9" t="n"/>
      <c r="E103" s="9" t="inlineStr">
        <is>
          <t>mm</t>
        </is>
      </c>
      <c r="F103" s="8" t="n"/>
      <c r="G103" s="10" t="n"/>
      <c r="H103" s="9">
        <f>IF(NOT(ISNUMBER(D103)),"",IF(ISNUMBER(G103),G103-D103,IF(ISNUMBER(F103),F103-D103,"")))</f>
        <v/>
      </c>
      <c r="I103" s="9" t="n"/>
      <c r="J103" s="11">
        <f>IF(OR(H103="",I103=""),"",IF(ABS(H103)&gt;I103,IF(ISNUMBER(G103),"UPDATE","UPDATE (spec)"),"ok"))</f>
        <v/>
      </c>
      <c r="K103" s="5" t="inlineStr">
        <is>
          <t>Compare with the computed image width below.</t>
        </is>
      </c>
    </row>
    <row r="104">
      <c r="A104" s="9" t="inlineStr">
        <is>
          <t>Site</t>
        </is>
      </c>
      <c r="B104" s="5" t="inlineStr">
        <is>
          <t>Lens height above ground, case on its feet</t>
        </is>
      </c>
      <c r="C104" s="9" t="inlineStr">
        <is>
          <t>(z_lens)</t>
        </is>
      </c>
      <c r="D104" s="9" t="n">
        <v>115</v>
      </c>
      <c r="E104" s="9" t="inlineStr">
        <is>
          <t>mm</t>
        </is>
      </c>
      <c r="F104" s="8" t="n"/>
      <c r="G104" s="10" t="n"/>
      <c r="H104" s="9">
        <f>IF(NOT(ISNUMBER(D104)),"",IF(ISNUMBER(G104),G104-D104,IF(ISNUMBER(F104),F104-D104,"")))</f>
        <v/>
      </c>
      <c r="I104" s="9" t="n">
        <v>5</v>
      </c>
      <c r="J104" s="11">
        <f>IF(OR(H104="",I104=""),"",IF(ABS(H104)&gt;I104,IF(ISNUMBER(G104),"UPDATE","UPDATE (spec)"),"ok"))</f>
        <v/>
      </c>
      <c r="K104" s="5" t="inlineStr">
        <is>
          <t>From the model: feet 6 + floor 6 + pedestal 30 + ball head 40 + lens_z 33. Measure it once assembled.</t>
        </is>
      </c>
    </row>
    <row r="105">
      <c r="A105" s="9" t="inlineStr">
        <is>
          <t>Site</t>
        </is>
      </c>
      <c r="B105" s="5" t="inlineStr">
        <is>
          <t>Image width at that distance</t>
        </is>
      </c>
      <c r="C105" s="9" t="n"/>
      <c r="D105" s="9" t="n"/>
      <c r="E105" s="9" t="inlineStr">
        <is>
          <t>mm</t>
        </is>
      </c>
      <c r="F105" s="8" t="n"/>
      <c r="G105" s="11">
        <f>IF(ISNUMBER(G100),ROUND(G100/IF(ISNUMBER(G38),G38,D38),0),"")</f>
        <v/>
      </c>
      <c r="H105" s="9">
        <f>IF(NOT(ISNUMBER(D105)),"",IF(ISNUMBER(G105),G105-D105,IF(ISNUMBER(F105),F105-D105,"")))</f>
        <v/>
      </c>
      <c r="I105" s="9" t="n"/>
      <c r="J105" s="11">
        <f>IF(OR(H105="",I105=""),"",IF(ABS(H105)&gt;I105,IF(ISNUMBER(G105),"UPDATE","UPDATE (spec)"),"ok"))</f>
        <v/>
      </c>
      <c r="K105" s="5" t="inlineStr">
        <is>
          <t>Computed: distance / throw ratio (measured if filled, else default). Do not type here.</t>
        </is>
      </c>
    </row>
    <row r="106">
      <c r="A106" s="9" t="inlineStr">
        <is>
          <t>Site</t>
        </is>
      </c>
      <c r="B106" s="5" t="inlineStr">
        <is>
          <t>Image centre height above ground</t>
        </is>
      </c>
      <c r="C106" s="9" t="n"/>
      <c r="D106" s="9" t="n"/>
      <c r="E106" s="9" t="inlineStr">
        <is>
          <t>mm</t>
        </is>
      </c>
      <c r="F106" s="8" t="n"/>
      <c r="G106" s="11">
        <f>IF(AND(ISNUMBER(G101),ISNUMBER(G102)),(G101+G102)/2,"")</f>
        <v/>
      </c>
      <c r="H106" s="9">
        <f>IF(NOT(ISNUMBER(D106)),"",IF(ISNUMBER(G106),G106-D106,IF(ISNUMBER(F106),F106-D106,"")))</f>
        <v/>
      </c>
      <c r="I106" s="9" t="n"/>
      <c r="J106" s="11">
        <f>IF(OR(H106="",I106=""),"",IF(ABS(H106)&gt;I106,IF(ISNUMBER(G106),"UPDATE","UPDATE (spec)"),"ok"))</f>
        <v/>
      </c>
      <c r="K106" s="5" t="inlineStr">
        <is>
          <t>Computed from the two edge heights. Do not type here.</t>
        </is>
      </c>
    </row>
    <row r="107">
      <c r="A107" s="9" t="inlineStr">
        <is>
          <t>Site</t>
        </is>
      </c>
      <c r="B107" s="5" t="inlineStr">
        <is>
          <t>Tilt needed to centre the image</t>
        </is>
      </c>
      <c r="C107" s="9" t="inlineStr">
        <is>
          <t>cone_tilt</t>
        </is>
      </c>
      <c r="D107" s="9" t="n">
        <v>12</v>
      </c>
      <c r="E107" s="9" t="inlineStr">
        <is>
          <t>deg</t>
        </is>
      </c>
      <c r="F107" s="8" t="n"/>
      <c r="G107" s="11">
        <f>IF(AND(ISNUMBER(G100),ISNUMBER(G106),G100&gt;0),ROUND(DEGREES(ATAN((G106-IF(ISNUMBER(G104),G104,D104))/G100)),1),"")</f>
        <v/>
      </c>
      <c r="H107" s="9">
        <f>IF(ISNUMBER(G107),G107-D107,"")</f>
        <v/>
      </c>
      <c r="I107" s="9" t="n"/>
      <c r="J107" s="11">
        <f>IF(NOT(ISNUMBER(G107)),"",IF(OR(G107&gt;D107,G107&lt;-15),"OVER LIMIT","ok"))</f>
        <v/>
      </c>
      <c r="K107" s="5" t="inlineStr">
        <is>
          <t>Computed. Limit is cone_tilt (12) up and aim_max (15) down before the light cone clips the visor or the body hits the head. OVER LIMIT means a riser or a longer throw. Do not type here.</t>
        </is>
      </c>
    </row>
    <row r="108">
      <c r="A108" s="9" t="inlineStr">
        <is>
          <t>Site</t>
        </is>
      </c>
      <c r="B108" s="5" t="inlineStr">
        <is>
          <t>Ground slope at the case position</t>
        </is>
      </c>
      <c r="C108" s="9" t="n"/>
      <c r="D108" s="9" t="n"/>
      <c r="E108" s="9" t="inlineStr">
        <is>
          <t>deg</t>
        </is>
      </c>
      <c r="F108" s="8" t="n"/>
      <c r="G108" s="10" t="n"/>
      <c r="H108" s="9">
        <f>IF(NOT(ISNUMBER(D108)),"",IF(ISNUMBER(G108),G108-D108,IF(ISNUMBER(F108),F108-D108,"")))</f>
        <v/>
      </c>
      <c r="I108" s="9" t="n"/>
      <c r="J108" s="11">
        <f>IF(OR(H108="",I108=""),"",IF(ABS(H108)&gt;I108,IF(ISNUMBER(G108),"UPDATE","UPDATE (spec)"),"ok"))</f>
        <v/>
      </c>
      <c r="K108" s="5" t="inlineStr">
        <is>
          <t>Adds to the tilt. Shim the feet.</t>
        </is>
      </c>
    </row>
    <row r="109">
      <c r="A109" s="9" t="inlineStr">
        <is>
          <t>Site</t>
        </is>
      </c>
      <c r="B109" s="5" t="inlineStr">
        <is>
          <t>Distance from the case to where visitors first appear</t>
        </is>
      </c>
      <c r="C109" s="9" t="n"/>
      <c r="D109" s="9" t="n"/>
      <c r="E109" s="9" t="inlineStr">
        <is>
          <t>m</t>
        </is>
      </c>
      <c r="F109" s="8" t="n"/>
      <c r="G109" s="10" t="n"/>
      <c r="H109" s="9">
        <f>IF(NOT(ISNUMBER(D109)),"",IF(ISNUMBER(G109),G109-D109,IF(ISNUMBER(F109),F109-D109,"")))</f>
        <v/>
      </c>
      <c r="I109" s="9" t="n"/>
      <c r="J109" s="11">
        <f>IF(OR(H109="",I109=""),"",IF(ABS(H109)&gt;I109,IF(ISNUMBER(G109),"UPDATE","UPDATE (spec)"),"ok"))</f>
        <v/>
      </c>
      <c r="K109" s="5" t="inlineStr">
        <is>
          <t>HC-SR501 range is about 7 m. Sets the PIR sensitivity and whether the rear wall is the right face for it.</t>
        </is>
      </c>
    </row>
    <row r="110">
      <c r="A110" s="9" t="inlineStr">
        <is>
          <t>Site</t>
        </is>
      </c>
      <c r="B110" s="5" t="inlineStr">
        <is>
          <t>Distance from the case to the GFCI outlet</t>
        </is>
      </c>
      <c r="C110" s="9" t="n"/>
      <c r="D110" s="9" t="n"/>
      <c r="E110" s="9" t="inlineStr">
        <is>
          <t>m</t>
        </is>
      </c>
      <c r="F110" s="8" t="n"/>
      <c r="G110" s="10" t="n"/>
      <c r="H110" s="9">
        <f>IF(NOT(ISNUMBER(D110)),"",IF(ISNUMBER(G110),G110-D110,IF(ISNUMBER(F110),F110-D110,"")))</f>
        <v/>
      </c>
      <c r="I110" s="9" t="n"/>
      <c r="J110" s="11">
        <f>IF(OR(H110="",I110=""),"",IF(ABS(H110)&gt;I110,IF(ISNUMBER(G110),"UPDATE","UPDATE (spec)"),"ok"))</f>
        <v/>
      </c>
      <c r="K110" s="5" t="inlineStr">
        <is>
          <t>One AC cord, under a cord cover across any path. Sets its length.</t>
        </is>
      </c>
    </row>
    <row r="112">
      <c r="A112" s="6" t="inlineStr">
        <is>
          <t>Parameters to update</t>
        </is>
      </c>
      <c r="B112" s="6">
        <f>COUNTIF(J7:J110,"UPDATE*")+COUNTIF(J7:J110,"OVER LIMIT")+COUNTIF(J7:J110,"TIGHT")</f>
        <v/>
      </c>
      <c r="C112" s="6" t="inlineStr">
        <is>
          <t>Rows still blank</t>
        </is>
      </c>
      <c r="D112" s="6">
        <f>COUNTBLANK(G7:G110)</f>
        <v/>
      </c>
    </row>
    <row r="114">
      <c r="A114" s="6" t="inlineStr">
        <is>
          <t>Legend</t>
        </is>
      </c>
    </row>
    <row r="115">
      <c r="A115" s="2" t="inlineStr">
        <is>
          <t>Yellow cell</t>
        </is>
      </c>
      <c r="B115" s="4" t="inlineStr">
        <is>
          <t>Type your measurement here.</t>
        </is>
      </c>
    </row>
    <row r="116">
      <c r="A116" s="8" t="inlineStr">
        <is>
          <t>Green value</t>
        </is>
      </c>
      <c r="B116" s="4" t="inlineStr">
        <is>
          <t>From the Tkisko TO2 manual (manuals.plus, Oct 2022), its label and product photos. Confirm with calipers.</t>
        </is>
      </c>
    </row>
    <row r="117">
      <c r="A117" s="6" t="inlineStr">
        <is>
          <t>Bold value</t>
        </is>
      </c>
      <c r="B117" s="4" t="inlineStr">
        <is>
          <t>Computed by the sheet. Leave it alone.</t>
        </is>
      </c>
    </row>
    <row r="118">
      <c r="A118" t="inlineStr">
        <is>
          <t>Defaults and tolerances</t>
        </is>
      </c>
      <c r="B118" s="4" t="inlineStr">
        <is>
          <t>Taken from projector_pi_case.scad (v0.10 draft) and docs/BRINGUP.md. The weight default (720 g) is an assumption from the design log, not a measurement. Site rows and the Assembly row are about where the case will stand, not the hardware: fill them before printing the big tiles.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5"/>
  <sheetViews>
    <sheetView tabSelected="1" workbookViewId="0">
      <pane ySplit="4" topLeftCell="A5" activePane="bottomLeft" state="frozen"/>
      <selection activeCell="A1" sqref="A1"/>
    </sheetView>
  </sheetViews>
  <sheetFormatPr baseColWidth="8" defaultRowHeight="15"/>
  <cols>
    <col width="12" customWidth="1" min="1" max="1"/>
    <col width="55" customWidth="1" min="2" max="2"/>
    <col width="36" customWidth="1" min="3" max="3"/>
    <col width="30" customWidth="1" min="4" max="4"/>
    <col width="50" customWidth="1" min="5" max="5"/>
  </cols>
  <sheetData>
    <row r="1">
      <c r="A1" s="3" t="inlineStr">
        <is>
          <t>Observations (not numbers)</t>
        </is>
      </c>
    </row>
    <row r="2">
      <c r="A2" s="4" t="inlineStr">
        <is>
          <t>Things to check that are not a single dimension. Fill in the yellow cells. Green is what the Tkisko TO2 manual (manuals.plus, Oct 2022), its label and product photos says.</t>
        </is>
      </c>
    </row>
    <row r="4">
      <c r="A4" s="7" t="inlineStr">
        <is>
          <t>Group</t>
        </is>
      </c>
      <c r="B4" s="7" t="inlineStr">
        <is>
          <t>Question</t>
        </is>
      </c>
      <c r="C4" s="7" t="inlineStr">
        <is>
          <t>Manual / label says</t>
        </is>
      </c>
      <c r="D4" s="7" t="inlineStr">
        <is>
          <t>Answer</t>
        </is>
      </c>
      <c r="E4" s="7" t="inlineStr">
        <is>
          <t>Why it matters</t>
        </is>
      </c>
    </row>
    <row r="5">
      <c r="A5" s="9" t="inlineStr">
        <is>
          <t>Projector</t>
        </is>
      </c>
      <c r="B5" s="5" t="inlineStr">
        <is>
          <t>Does it have an external DC brick with a barrel plug, or does the AC cord go straight into the body?</t>
        </is>
      </c>
      <c r="C5" s="8" t="inlineStr">
        <is>
          <t>Label: Power Input DC 21 V 3000 mA, so an external brick. Manual: 110 V, 50 W.</t>
        </is>
      </c>
      <c r="D5" s="10" t="inlineStr">
        <is>
          <t>External wall-wart with a barrel plug (MX48CC-210228US, 48 W). Fixed 2-pin prongs, captive DC cord; it plugs into a receptacle on the shelf.</t>
        </is>
      </c>
      <c r="E5" s="5" t="inlineStr">
        <is>
          <t>The power shelf, relay and DC fuse assume an external brick. A built-in supply changes the wiring plan.</t>
        </is>
      </c>
    </row>
    <row r="6">
      <c r="A6" s="9" t="inlineStr">
        <is>
          <t>Projector</t>
        </is>
      </c>
      <c r="B6" s="5" t="inlineStr">
        <is>
          <t>Which face holds the lens: the 6.5 in side or the 5 in side?</t>
        </is>
      </c>
      <c r="C6" s="8" t="inlineStr">
        <is>
          <t>Owner: the 6.5 in face (set in the model).</t>
        </is>
      </c>
      <c r="D6" s="10" t="n"/>
      <c r="E6" s="5" t="inlineStr">
        <is>
          <t>Sets proj_w vs proj_d. Lens on the long face pushes the base past the 210 mm bed axis.</t>
        </is>
      </c>
    </row>
    <row r="7">
      <c r="A7" s="9" t="inlineStr">
        <is>
          <t>Projector</t>
        </is>
      </c>
      <c r="B7" s="5" t="inlineStr">
        <is>
          <t>Where are the HDMI and power ports? (rear / left / right / top)</t>
        </is>
      </c>
      <c r="C7" s="8" t="inlineStr">
        <is>
          <t>Ports: HDMI, USB, AV, 3.5 mm audio. Photos (2026-10-06): DC jack at the rear top-right corner; HDMI/USB/AV in a strip on the right face.</t>
        </is>
      </c>
      <c r="D7" s="10" t="n"/>
      <c r="E7" s="5" t="inlineStr">
        <is>
          <t>The model assumes this (dc_jack, hdmi_y, side_port_*, port_depth). Confirm with calipers.</t>
        </is>
      </c>
    </row>
    <row r="8">
      <c r="A8" s="9" t="inlineStr">
        <is>
          <t>Projector</t>
        </is>
      </c>
      <c r="B8" s="5" t="inlineStr">
        <is>
          <t>Plug types: right-angle or straight HDMI? Barrel plug size?</t>
        </is>
      </c>
      <c r="C8" s="8" t="inlineStr">
        <is>
          <t>HDMI cable included.</t>
        </is>
      </c>
      <c r="D8" s="10" t="n"/>
      <c r="E8" s="5" t="inlineStr">
        <is>
          <t>HDMI must be a right-angle, side-exit plug with the cable leaving rearward along the right face: a straight plug does not fit the side gap. The DC plug points back, above the intake patch.</t>
        </is>
      </c>
    </row>
    <row r="9">
      <c r="A9" s="9" t="inlineStr">
        <is>
          <t>Projector</t>
        </is>
      </c>
      <c r="B9" s="5" t="inlineStr">
        <is>
          <t>Barrel plug inner pin diameter (2.1 or 2.5 mm)</t>
        </is>
      </c>
      <c r="C9" s="8" t="n"/>
      <c r="D9" s="10" t="n"/>
      <c r="E9" s="5" t="inlineStr">
        <is>
          <t>Picks the pigtail for the relay and fuse splice.</t>
        </is>
      </c>
    </row>
    <row r="10">
      <c r="A10" s="9" t="inlineStr">
        <is>
          <t>Projector</t>
        </is>
      </c>
      <c r="B10" s="5" t="inlineStr">
        <is>
          <t>Where are the air intake and exhaust vents?</t>
        </is>
      </c>
      <c r="C10" s="8" t="inlineStr">
        <is>
          <t>Sealed optical engine; fan cooling. Photos: exhaust grille on the right face (first 40 mm behind the front), intake grille on the rear face; the rear face's second grille is a speaker.</t>
        </is>
      </c>
      <c r="D10" s="10" t="n"/>
      <c r="E10" s="5" t="inlineStr">
        <is>
          <t>The exhaust and inlet louver banks line up with them (exh_y, in_size, in_top).</t>
        </is>
      </c>
    </row>
    <row r="11">
      <c r="A11" s="9" t="inlineStr">
        <is>
          <t>Projector</t>
        </is>
      </c>
      <c r="B11" s="5" t="inlineStr">
        <is>
          <t>Which face holds the focus wheel and the keystone control?</t>
        </is>
      </c>
      <c r="C11" s="8" t="inlineStr">
        <is>
          <t>Manual focus; not stated where.</t>
        </is>
      </c>
      <c r="D11" s="10" t="n"/>
      <c r="E11" s="5" t="inlineStr">
        <is>
          <t>The aim hatch is the left wall and reaches only the lower 40 mm of the projector. Right or top means: focus with the lid off, then never touch it.</t>
        </is>
      </c>
    </row>
    <row r="12">
      <c r="A12" s="9" t="inlineStr">
        <is>
          <t>Projector</t>
        </is>
      </c>
      <c r="B12" s="5" t="inlineStr">
        <is>
          <t>Which face holds the IR receiver window?</t>
        </is>
      </c>
      <c r="C12" s="8" t="inlineStr">
        <is>
          <t>Remote included. Photos: the receiver window is on the front face, above the logo.</t>
        </is>
      </c>
      <c r="D12" s="10" t="n"/>
      <c r="E12" s="5" t="inlineStr">
        <is>
          <t>ir_holder sticks on the projector's front face (ir_x, ir_z) with its body pointing toward the window, so the LED fires at the receiver from inside the front gap.</t>
        </is>
      </c>
    </row>
    <row r="13">
      <c r="A13" s="9" t="inlineStr">
        <is>
          <t>Projector</t>
        </is>
      </c>
      <c r="B13" s="5" t="inlineStr">
        <is>
          <t>Which face holds each vent, and which way does the fan blow?</t>
        </is>
      </c>
      <c r="C13" s="8" t="inlineStr">
        <is>
          <t>Sealed optical engine; fan cooling. Photos: exhaust right face, intake rear face.</t>
        </is>
      </c>
      <c r="D13" s="10" t="n"/>
      <c r="E13" s="5" t="inlineStr">
        <is>
          <t>The case has no fans: the projector's own fan moves the air. The inlet bank sees the rear intake, the exhaust bank the right-face exhaust.</t>
        </is>
      </c>
    </row>
    <row r="14">
      <c r="A14" s="9" t="inlineStr">
        <is>
          <t>Projector</t>
        </is>
      </c>
      <c r="B14" s="5" t="inlineStr">
        <is>
          <t>Is the 1/4-20 socket metal and is it centred under the lens?</t>
        </is>
      </c>
      <c r="C14" s="8" t="inlineStr">
        <is>
          <t>Underside photo: brass insert in the right lobe, 19 mm right of centre, with a small slot beside it.</t>
        </is>
      </c>
      <c r="D14" s="10" t="n"/>
      <c r="E14" s="5" t="inlineStr">
        <is>
          <t>A plastic socket may need a plate.</t>
        </is>
      </c>
    </row>
    <row r="15">
      <c r="A15" s="9" t="inlineStr">
        <is>
          <t>Projector</t>
        </is>
      </c>
      <c r="B15" s="5" t="inlineStr">
        <is>
          <t>Does HDMI-CEC power it on and off from the Pi?</t>
        </is>
      </c>
      <c r="C15" s="8" t="inlineStr">
        <is>
          <t>Not mentioned.</t>
        </is>
      </c>
      <c r="D15" s="10" t="n"/>
      <c r="E15" s="5" t="inlineStr">
        <is>
          <t>If not, use the relay + IR fallback.</t>
        </is>
      </c>
    </row>
    <row r="16">
      <c r="A16" s="9" t="inlineStr">
        <is>
          <t>Projector</t>
        </is>
      </c>
      <c r="B16" s="5" t="inlineStr">
        <is>
          <t>IR remote power code (if the fallback is needed)</t>
        </is>
      </c>
      <c r="C16" s="8" t="inlineStr">
        <is>
          <t>Remote included.</t>
        </is>
      </c>
      <c r="D16" s="10" t="n"/>
      <c r="E16" s="5" t="inlineStr">
        <is>
          <t>Learned with the Pi.</t>
        </is>
      </c>
    </row>
    <row r="17">
      <c r="A17" s="9" t="inlineStr">
        <is>
          <t>Projector</t>
        </is>
      </c>
      <c r="B17" s="5" t="inlineStr">
        <is>
          <t>Does it keep the last input and auto-start on power?</t>
        </is>
      </c>
      <c r="C17" s="8" t="inlineStr">
        <is>
          <t>Not mentioned.</t>
        </is>
      </c>
      <c r="D17" s="10" t="n"/>
      <c r="E17" s="5" t="inlineStr">
        <is>
          <t>Needed for the relay fallback to work unattended.</t>
        </is>
      </c>
    </row>
    <row r="18">
      <c r="A18" s="9" t="inlineStr">
        <is>
          <t>Ball head</t>
        </is>
      </c>
      <c r="B18" s="5" t="inlineStr">
        <is>
          <t>Make and model</t>
        </is>
      </c>
      <c r="C18" s="8" t="n"/>
      <c r="D18" s="10" t="n"/>
      <c r="E18" s="5" t="inlineStr"/>
    </row>
    <row r="19">
      <c r="A19" s="9" t="inlineStr">
        <is>
          <t>Ball head</t>
        </is>
      </c>
      <c r="B19" s="5" t="inlineStr">
        <is>
          <t>Which way does the lock knob face when the stud points at the window?</t>
        </is>
      </c>
      <c r="C19" s="8" t="n"/>
      <c r="D19" s="10" t="n"/>
      <c r="E19" s="5" t="inlineStr">
        <is>
          <t>Must be reachable through the hatch.</t>
        </is>
      </c>
    </row>
    <row r="20">
      <c r="A20" s="9" t="inlineStr">
        <is>
          <t>Ball head</t>
        </is>
      </c>
      <c r="B20" s="5" t="inlineStr">
        <is>
          <t>Base thread: 1/4-20 or 3/8-16?</t>
        </is>
      </c>
      <c r="C20" s="8" t="n"/>
      <c r="D20" s="10" t="n"/>
      <c r="E20" s="5" t="inlineStr">
        <is>
          <t>The pedestal insert is 1/4-20; a 3/8 base needs a bushing.</t>
        </is>
      </c>
    </row>
    <row r="21">
      <c r="A21" s="9" t="inlineStr">
        <is>
          <t>Ball head</t>
        </is>
      </c>
      <c r="B21" s="5" t="inlineStr">
        <is>
          <t>One knob for ball and pan, or separate locks?</t>
        </is>
      </c>
      <c r="C21" s="8" t="n"/>
      <c r="D21" s="10" t="n"/>
      <c r="E21" s="5" t="inlineStr">
        <is>
          <t>Every knob has to land in the hatch.</t>
        </is>
      </c>
    </row>
    <row r="22">
      <c r="A22" s="9" t="inlineStr">
        <is>
          <t>DC brick</t>
        </is>
      </c>
      <c r="B22" s="5" t="inlineStr">
        <is>
          <t>Polarity of the barrel plug (centre + or centre -)</t>
        </is>
      </c>
      <c r="C22" s="8" t="n"/>
      <c r="D22" s="10" t="inlineStr">
        <is>
          <t>Centre + (label symbol, 2026-10-05). Confirm with a meter before cutting the lead.</t>
        </is>
      </c>
      <c r="E22" s="5" t="inlineStr">
        <is>
          <t>Never guess: check the label.</t>
        </is>
      </c>
    </row>
    <row r="23">
      <c r="A23" s="9" t="inlineStr">
        <is>
          <t>DC brick</t>
        </is>
      </c>
      <c r="B23" s="5" t="inlineStr">
        <is>
          <t>AC inlet type (C7 / C5 / C13) or captive cord</t>
        </is>
      </c>
      <c r="C23" s="8" t="n"/>
      <c r="D23" s="10" t="inlineStr">
        <is>
          <t>Unknown until the Parts Express brick arrives: read its label (BRINGUP row 4) and buy a cord with the matching molded connector.</t>
        </is>
      </c>
      <c r="E23" s="5" t="inlineStr"/>
    </row>
    <row r="24">
      <c r="A24" s="9" t="inlineStr">
        <is>
          <t>DC brick</t>
        </is>
      </c>
      <c r="B24" s="5" t="inlineStr">
        <is>
          <t>Can it run projector + Pi + DigiAMP+ together at full volume?</t>
        </is>
      </c>
      <c r="C24" s="8" t="n"/>
      <c r="D24" s="10" t="inlineStr">
        <is>
          <t>Replaced by the Parts Express 24 V 5 A (120 W) brick, which covers all three. Projector tolerance of 24 V: BRINGUP row 4a.</t>
        </is>
      </c>
      <c r="E24" s="5" t="inlineStr">
        <is>
          <t>BRINGUP rows 4a and 4b.</t>
        </is>
      </c>
    </row>
    <row r="25">
      <c r="A25" s="9" t="inlineStr">
        <is>
          <t>DC brick</t>
        </is>
      </c>
      <c r="B25" s="5" t="inlineStr">
        <is>
          <t>Relay module: coil voltage and trigger level (3.3 V logic?)</t>
        </is>
      </c>
      <c r="C25" s="8" t="n"/>
      <c r="D25" s="10" t="n"/>
      <c r="E25" s="5" t="inlineStr">
        <is>
          <t>Driven from a Pi GPIO; 5 V modules often need a transistor or an opto board.</t>
        </is>
      </c>
    </row>
    <row r="26">
      <c r="A26" s="9" t="inlineStr">
        <is>
          <t>Pi</t>
        </is>
      </c>
      <c r="B26" s="5" t="inlineStr">
        <is>
          <t>Which Pi generation and sled</t>
        </is>
      </c>
      <c r="C26" s="8" t="n"/>
      <c r="D26" s="10" t="n"/>
      <c r="E26" s="5" t="inlineStr">
        <is>
          <t>pi3 / pi4 / pi5 / zero2w</t>
        </is>
      </c>
    </row>
    <row r="27">
      <c r="A27" s="9" t="inlineStr">
        <is>
          <t>Pi</t>
        </is>
      </c>
      <c r="B27" s="5" t="inlineStr">
        <is>
          <t>GPIOs the DigiAMP+ leaves free</t>
        </is>
      </c>
      <c r="C27" s="8" t="n"/>
      <c r="D27" s="10" t="n"/>
      <c r="E27" s="5" t="inlineStr">
        <is>
          <t>Needed for the PIR, the relay and the IR LED.</t>
        </is>
      </c>
    </row>
    <row r="28">
      <c r="A28" s="9" t="inlineStr">
        <is>
          <t>Site</t>
        </is>
      </c>
      <c r="B28" s="5" t="inlineStr">
        <is>
          <t>Which direction do visitors approach from, relative to the projection surface?</t>
        </is>
      </c>
      <c r="C28" s="8" t="n"/>
      <c r="D28" s="10" t="n"/>
      <c r="E28" s="5" t="inlineStr">
        <is>
          <t>The PIR looks out the rear wall and the case faces the surface. If they come from the side, the PIR moves or the scare uses the web/Matter trigger.</t>
        </is>
      </c>
    </row>
    <row r="29">
      <c r="A29" s="9" t="inlineStr">
        <is>
          <t>Site</t>
        </is>
      </c>
      <c r="B29" s="5" t="inlineStr">
        <is>
          <t>Where does rain come from (prevailing wind), and does the spot pool?</t>
        </is>
      </c>
      <c r="C29" s="8" t="n"/>
      <c r="D29" s="10" t="n"/>
      <c r="E29" s="5" t="inlineStr">
        <is>
          <t>The case sheds rain from above; standing water above the 6 mm feet reaches the intake.</t>
        </is>
      </c>
    </row>
    <row r="30">
      <c r="A30" s="9" t="inlineStr">
        <is>
          <t>Fit coupon</t>
        </is>
      </c>
      <c r="B30" s="5" t="inlineStr">
        <is>
          <t>1/4-20 insert fit</t>
        </is>
      </c>
      <c r="C30" s="8" t="n"/>
      <c r="D30" s="10" t="n"/>
      <c r="E30" s="5" t="inlineStr">
        <is>
          <t>snug / loose / cracked</t>
        </is>
      </c>
    </row>
    <row r="31">
      <c r="A31" s="9" t="inlineStr">
        <is>
          <t>Fit coupon</t>
        </is>
      </c>
      <c r="B31" s="5" t="inlineStr">
        <is>
          <t>M4 insert fit</t>
        </is>
      </c>
      <c r="C31" s="8" t="n"/>
      <c r="D31" s="10" t="n"/>
      <c r="E31" s="5" t="inlineStr">
        <is>
          <t>snug / loose / cracked</t>
        </is>
      </c>
    </row>
    <row r="32">
      <c r="A32" s="9" t="inlineStr">
        <is>
          <t>Fit coupon</t>
        </is>
      </c>
      <c r="B32" s="5" t="inlineStr">
        <is>
          <t>M3 insert fit</t>
        </is>
      </c>
      <c r="C32" s="8" t="n"/>
      <c r="D32" s="10" t="n"/>
      <c r="E32" s="5" t="inlineStr">
        <is>
          <t>snug / loose / cracked</t>
        </is>
      </c>
    </row>
    <row r="33">
      <c r="A33" s="9" t="inlineStr">
        <is>
          <t>Fit coupon</t>
        </is>
      </c>
      <c r="B33" s="5" t="inlineStr">
        <is>
          <t>M3 / M2.5 / M2 screws in the pilots</t>
        </is>
      </c>
      <c r="C33" s="8" t="n"/>
      <c r="D33" s="10" t="n"/>
      <c r="E33" s="5" t="inlineStr">
        <is>
          <t>bite / strip / split</t>
        </is>
      </c>
    </row>
    <row r="34">
      <c r="A34" s="9" t="inlineStr">
        <is>
          <t>Fit coupon</t>
        </is>
      </c>
      <c r="B34" s="5" t="inlineStr">
        <is>
          <t>M4 bolt in the keyhole: slides and seats?</t>
        </is>
      </c>
      <c r="C34" s="8" t="n"/>
      <c r="D34" s="10" t="n"/>
      <c r="E34" s="5" t="inlineStr"/>
    </row>
    <row r="35">
      <c r="A35" s="9" t="inlineStr">
        <is>
          <t>Fit coupon</t>
        </is>
      </c>
      <c r="B35" s="5" t="inlineStr">
        <is>
          <t>Acrylic in the slot: snug, no rattle?</t>
        </is>
      </c>
      <c r="C35" s="8" t="n"/>
      <c r="D35" s="10" t="n"/>
      <c r="E35" s="5"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2026-10-06T03:25:11Z</dcterms:created>
  <dcterms:modified xmlns:dcterms="http://purl.org/dc/terms/" xmlns:xsi="http://www.w3.org/2001/XMLSchema-instance" xsi:type="dcterms:W3CDTF">2026-10-06T19:16:54Z</dcterms:modified>
</cp:coreProperties>
</file>